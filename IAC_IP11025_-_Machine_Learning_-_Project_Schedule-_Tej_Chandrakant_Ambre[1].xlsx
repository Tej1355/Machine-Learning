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https://d.docs.live.net/89f82e5191109e43/Desktop/"/>
    </mc:Choice>
  </mc:AlternateContent>
  <xr:revisionPtr revIDLastSave="0" documentId="8_{47551396-B0DE-485D-8ABE-506672DAE0D3}" xr6:coauthVersionLast="47" xr6:coauthVersionMax="47" xr10:uidLastSave="{00000000-0000-0000-0000-000000000000}"/>
  <bookViews>
    <workbookView xWindow="-96" yWindow="0" windowWidth="11712" windowHeight="12336"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<sst xmlns="http://schemas.openxmlformats.org/spreadsheetml/2006/main" count="263" uniqueCount="203">
  <si>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</si>
  <si>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</si>
  <si>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</si>
  <si>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</si>
  <si>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</si>
  <si>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</si>
  <si>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</si>
  <si>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</si>
  <si>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</si>
  <si>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</si>
  <si>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</si>
  <si>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</si>
  <si>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</si>
  <si>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</si>
  <si>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</si>
  <si>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</si>
  <si>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</si>
  <si>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</si>
  <si>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</si>
  <si>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</si>
  <si>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</si>
  <si>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</si>
  <si>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</si>
  <si>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</si>
  <si>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</si>
  <si>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</si>
  <si>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</si>
  <si>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</si>
  <si>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</si>
  <si>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</si>
  <si>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</si>
  <si>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</si>
  <si>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</si>
  <si>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</si>
  <si>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</si>
  <si>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</si>
  <si>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</si>
  <si>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</si>
  <si>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</si>
  <si>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</si>
  <si>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</si>
  <si>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</si>
  <si>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</si>
  <si>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</si>
  <si>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</si>
  <si>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</si>
  <si>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</si>
  <si>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</si>
  <si>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</si>
  <si>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</si>
  <si>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</si>
  <si>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</si>
  <si>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</si>
  <si>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</si>
  <si>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</si>
  <si>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</si>
  <si>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</si>
  <si>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</si>
  <si>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</si>
  <si>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</si>
  <si>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</si>
  <si>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</si>
  <si>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</si>
  <si>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</si>
  <si>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</si>
  <si>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</si>
  <si>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</si>
  <si>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</si>
  <si>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</si>
  <si>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</si>
  <si>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</si>
  <si>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</si>
  <si>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</si>
  <si>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</si>
  <si>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</si>
  <si>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</si>
  <si>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</si>
  <si>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</si>
  <si>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</si>
  <si>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</si>
  <si>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</si>
  <si>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</si>
  <si>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</si>
  <si>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</si>
  <si>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</si>
  <si>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</si>
  <si>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</si>
  <si>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</si>
  <si>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</si>
  <si>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</si>
  <si>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</si>
  <si>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</si>
  <si>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</si>
  <si>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</si>
  <si>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</si>
  <si>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</si>
  <si>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</si>
  <si>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</si>
  <si>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</si>
  <si>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</si>
  <si>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</si>
  <si>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</si>
  <si>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</si>
  <si>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</si>
  <si>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</si>
  <si>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</si>
  <si>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</si>
  <si>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</si>
  <si>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</si>
  <si>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</si>
  <si>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</si>
  <si>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</si>
  <si>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</si>
  <si>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</si>
  <si>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</si>
  <si>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</si>
  <si>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</si>
  <si>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</si>
  <si>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</si>
  <si>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</si>
  <si>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</si>
  <si>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</si>
  <si>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</si>
  <si>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</si>
  <si>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</si>
  <si>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</si>
  <si>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</si>
  <si>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</si>
  <si>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IAC Internship Progra 2023 - Machine Learning Project Schedule</t>
  </si>
  <si>
    <t>Studied the given problem statement in detail to understand the objectives of predicting student graduation and placement outcomes. Identified the key challenges faced by students due to lack of career guidance.</t>
  </si>
  <si>
    <t>Conducted research on similar machine learning projects related to career prediction and student performance analysis. Reviewed existing solutions and identified gaps.</t>
  </si>
  <si>
    <t>Listed the important features required for the model such as CGPA, coding skills, communication skills, and extracurricular activities. Defined the structure of the dataset.</t>
  </si>
  <si>
    <t>Selected the technology stack including Python, Pandas, NumPy, Scikit-learn, and Streamlit. Installed required libraries and set up the development environment.</t>
  </si>
  <si>
    <t>Prepared a project plan and timeline. Documented the workflow and finalized the approach for executing the project.</t>
  </si>
  <si>
    <t>Searched for relevant datasets from online platforms such as Kaggle and other sources related to student placement and career prediction.</t>
  </si>
  <si>
    <t>Downloaded the dataset and explored its structure, including rows, columns, and data types.</t>
  </si>
  <si>
    <t>Analyzed the dataset to understand each feature and its importance in predicting outcomes.</t>
  </si>
  <si>
    <t>Modified the dataset by adding/removing features to align it with the project objectives.</t>
  </si>
  <si>
    <t>Finalized the dataset for further processing and saved it in a suitable format for analysis.</t>
  </si>
  <si>
    <t>Loaded the dataset into the Python environment using Pandas and verified its contents.</t>
  </si>
  <si>
    <t>Handled missing values by applying appropriate techniques such as filling or removing null entries.</t>
  </si>
  <si>
    <t>Removed duplicate records and corrected inconsistencies in the dataset.</t>
  </si>
  <si>
    <t>Converted categorical variables into numerical format using encoding techniques.</t>
  </si>
  <si>
    <t>Normalized and scaled the data to ensure uniformity across features.</t>
  </si>
  <si>
    <t>Performed initial data analysis to understand distributions and basic statistics of the dataset.</t>
  </si>
  <si>
    <t>Created visualizations such as graphs and charts to analyze relationships between CGPA and placement status.</t>
  </si>
  <si>
    <t>Analyzed the impact of skills and extracurricular activities on career outcomes.</t>
  </si>
  <si>
    <t>Identified correlations between different features using correlation matrices.</t>
  </si>
  <si>
    <t>Documented key insights obtained from the analysis for model building.</t>
  </si>
  <si>
    <t>Selected the most relevant features that contribute significantly to prediction.</t>
  </si>
  <si>
    <t>Removed unnecessary or redundant columns from the dataset.</t>
  </si>
  <si>
    <t>Created new features where required to improve model performance.</t>
  </si>
  <si>
    <t>Split the dataset into training and testing sets.</t>
  </si>
  <si>
    <t>Prepared the final dataset for model training.</t>
  </si>
  <si>
    <t>Implemented Logistic Regression model for classification of placement status.</t>
  </si>
  <si>
    <t>Built a Decision Tree model and analyzed its performance.</t>
  </si>
  <si>
    <t>Compared the performance of both models using evaluation metrics.</t>
  </si>
  <si>
    <t>Tuned hyperparameters to improve model accuracy.</t>
  </si>
  <si>
    <t>Selected the best-performing basic model.</t>
  </si>
  <si>
    <t>Implemented Random Forest algorithm to improve prediction accuracy.</t>
  </si>
  <si>
    <t>Evaluated the Random Forest model and compared it with previous models.</t>
  </si>
  <si>
    <t>Performed further tuning and optimization of the model.</t>
  </si>
  <si>
    <t>Selected the final model based on performance comparison.</t>
  </si>
  <si>
    <t>Saved the trained model using pickle for future use.</t>
  </si>
  <si>
    <t>Calculated accuracy of the final model.</t>
  </si>
  <si>
    <t>Generated confusion matrix to evaluate classification performance.</t>
  </si>
  <si>
    <t>Calculated precision, recall, and F1-score.</t>
  </si>
  <si>
    <t>Tested the model using sample inputs to verify predictions.</t>
  </si>
  <si>
    <t>Documented all evaluation results.</t>
  </si>
  <si>
    <t>Installed and configured Streamlit for application development.</t>
  </si>
  <si>
    <t>Designed user interface with input fields for student data.</t>
  </si>
  <si>
    <t>Integrated the trained model with the Streamlit application.</t>
  </si>
  <si>
    <t>Displayed prediction results and career recommendations.</t>
  </si>
  <si>
    <t>Tested the application for correctness and usability.</t>
  </si>
  <si>
    <t>Prepared detailed project report including all sections.</t>
  </si>
  <si>
    <t>Created PowerPoint presentation for project demonstration.</t>
  </si>
  <si>
    <t>Prepared answers for viva questions.</t>
  </si>
  <si>
    <t>Performed final testing and improvements in the system.</t>
  </si>
  <si>
    <t>Completed project submission and reviewed all deliverables.</t>
  </si>
  <si>
    <t>13/02/2026</t>
  </si>
  <si>
    <t>14/02/2026</t>
  </si>
  <si>
    <t>15/02/2026</t>
  </si>
  <si>
    <t>17/02/2026</t>
  </si>
  <si>
    <t>18/02/2026</t>
  </si>
  <si>
    <t>19/02/2026</t>
  </si>
  <si>
    <t>20/02/2026</t>
  </si>
  <si>
    <t>21/02/2026</t>
  </si>
  <si>
    <t>24/02/2026</t>
  </si>
  <si>
    <t>25/02/2026</t>
  </si>
  <si>
    <t>26/02/2026</t>
  </si>
  <si>
    <t>27/02/2026</t>
  </si>
  <si>
    <t>28/02/2026</t>
  </si>
  <si>
    <t>Completed</t>
  </si>
  <si>
    <t>Week 1 :Requirement Understanding &amp; Planning</t>
  </si>
  <si>
    <t>Week 2: Data Collection</t>
  </si>
  <si>
    <t>Week 3 : Data Preprocessing</t>
  </si>
  <si>
    <t>Week4 : Data Preprocessing</t>
  </si>
  <si>
    <t>Week5 : Feature Engineering</t>
  </si>
  <si>
    <t>Week6 :Model Building (Basic Models)</t>
  </si>
  <si>
    <t>Week7 :Advanced Model</t>
  </si>
  <si>
    <t>Week8 :Model Evaluation</t>
  </si>
  <si>
    <t>Week9 :Deployment (Streamlit Application)</t>
  </si>
  <si>
    <t>Week10 :Documentation &amp; Finalization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</si>
</sst>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7">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sz val="8"/>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C0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5" fillId="0" borderId="0" applyNumberFormat="0" applyFill="0" applyBorder="0" applyAlignment="0" applyProtection="0"/>
  </cellStyleXfs>
  <cellXfs count="136">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4" fillId="0" borderId="0" xfId="0" applyFont="1"/>
    <xf numFmtId="0" fontId="16"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7" fillId="0" borderId="0" xfId="1" applyFont="1" applyAlignment="1">
      <alignment horizontal="right"/>
    </xf>
    <xf numFmtId="0" fontId="17" fillId="0" borderId="0" xfId="1" applyFont="1"/>
    <xf numFmtId="0" fontId="18" fillId="0" borderId="0" xfId="1" applyFont="1" applyAlignment="1">
      <alignment wrapText="1"/>
    </xf>
    <xf numFmtId="164" fontId="18" fillId="4" borderId="0" xfId="1" applyNumberFormat="1" applyFont="1" applyFill="1" applyAlignment="1">
      <alignment horizontal="center" vertical="center" wrapText="1"/>
    </xf>
    <xf numFmtId="0" fontId="17" fillId="0" borderId="0" xfId="1" applyFont="1" applyAlignment="1">
      <alignment wrapText="1"/>
    </xf>
    <xf numFmtId="165" fontId="17" fillId="0" borderId="0" xfId="1" applyNumberFormat="1" applyFont="1"/>
    <xf numFmtId="165" fontId="17" fillId="0" borderId="0" xfId="1" applyNumberFormat="1" applyFont="1" applyAlignment="1">
      <alignment wrapText="1"/>
    </xf>
    <xf numFmtId="1" fontId="17" fillId="0" borderId="0" xfId="1" applyNumberFormat="1" applyFont="1" applyAlignment="1">
      <alignment wrapText="1"/>
    </xf>
    <xf numFmtId="1" fontId="17" fillId="0" borderId="0" xfId="1" applyNumberFormat="1" applyFont="1" applyAlignment="1">
      <alignment horizontal="center" vertical="center"/>
    </xf>
    <xf numFmtId="0" fontId="17" fillId="2" borderId="3" xfId="1" applyFont="1" applyFill="1" applyBorder="1"/>
    <xf numFmtId="0" fontId="19" fillId="7" borderId="0" xfId="1" applyFont="1" applyFill="1"/>
    <xf numFmtId="0" fontId="8" fillId="7" borderId="0" xfId="1" applyFill="1" applyAlignment="1">
      <alignment wrapText="1"/>
    </xf>
    <xf numFmtId="0" fontId="21" fillId="0" borderId="0" xfId="0" applyFont="1"/>
    <xf numFmtId="0" fontId="22" fillId="0" borderId="0" xfId="0" applyFont="1"/>
    <xf numFmtId="14" fontId="21" fillId="0" borderId="0" xfId="0" applyNumberFormat="1" applyFont="1"/>
    <xf numFmtId="0" fontId="14"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3" fillId="5" borderId="0" xfId="0" applyFont="1" applyFill="1" applyAlignment="1">
      <alignment horizontal="center"/>
    </xf>
    <xf numFmtId="0" fontId="14" fillId="9" borderId="6" xfId="0" applyFont="1" applyFill="1" applyBorder="1"/>
    <xf numFmtId="0" fontId="0" fillId="9" borderId="4" xfId="0" applyFill="1" applyBorder="1"/>
    <xf numFmtId="0" fontId="14" fillId="9" borderId="17" xfId="0" applyFont="1" applyFill="1" applyBorder="1"/>
    <xf numFmtId="0" fontId="0" fillId="9" borderId="18" xfId="0" applyFill="1" applyBorder="1"/>
    <xf numFmtId="14" fontId="0" fillId="9" borderId="18" xfId="0" applyNumberFormat="1" applyFill="1" applyBorder="1"/>
    <xf numFmtId="0" fontId="14" fillId="9" borderId="3" xfId="0" applyFont="1" applyFill="1" applyBorder="1"/>
    <xf numFmtId="0" fontId="0" fillId="9" borderId="1" xfId="0" applyFill="1" applyBorder="1"/>
    <xf numFmtId="0" fontId="23" fillId="0" borderId="0" xfId="0" applyFont="1"/>
    <xf numFmtId="0" fontId="24" fillId="0" borderId="0" xfId="0" applyFont="1"/>
    <xf numFmtId="0" fontId="0" fillId="4" borderId="0" xfId="0" applyFill="1"/>
    <xf numFmtId="0" fontId="24" fillId="4" borderId="0" xfId="0" applyFont="1" applyFill="1"/>
    <xf numFmtId="1" fontId="2" fillId="5" borderId="0" xfId="1" applyNumberFormat="1" applyFont="1" applyFill="1" applyAlignment="1">
      <alignment horizontal="center" vertical="center"/>
    </xf>
    <xf numFmtId="0" fontId="25" fillId="4" borderId="0" xfId="3" applyFill="1"/>
    <xf numFmtId="0" fontId="25" fillId="0" borderId="0" xfId="3"/>
    <xf numFmtId="15" fontId="17" fillId="2" borderId="1" xfId="1" applyNumberFormat="1" applyFont="1" applyFill="1" applyBorder="1" applyAlignment="1">
      <alignment horizontal="left"/>
    </xf>
    <xf numFmtId="15" fontId="17" fillId="2" borderId="2" xfId="1" applyNumberFormat="1" applyFont="1" applyFill="1" applyBorder="1" applyAlignment="1">
      <alignment horizontal="left"/>
    </xf>
    <xf numFmtId="0" fontId="20" fillId="7" borderId="0" xfId="0" applyFont="1" applyFill="1" applyAlignment="1">
      <alignment horizontal="center" vertical="center"/>
    </xf>
    <xf numFmtId="0" fontId="0" fillId="7" borderId="0" xfId="0" applyFill="1" applyAlignment="1">
      <alignment horizontal="center" vertical="center"/>
    </xf>
    <xf numFmtId="0" fontId="15" fillId="8" borderId="0" xfId="0" applyFont="1" applyFill="1" applyAlignment="1">
      <alignment horizontal="right" vertical="center"/>
    </xf>
    <xf numFmtId="0" fontId="20"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xf numFmtId="16" fontId="18" fillId="0" borderId="0" xfId="1" applyNumberFormat="1" applyFont="1" applyAlignment="1">
      <alignment horizontal="center" vertical="center" wrapText="1"/>
    </xf>
    <xf numFmtId="0" fontId="10" fillId="11" borderId="0" xfId="1" applyFont="1" applyFill="1" applyAlignment="1">
      <alignment horizontal="right"/>
    </xf>
    <xf numFmtId="0" fontId="7" fillId="11" borderId="0" xfId="1" applyFont="1" applyFill="1" applyAlignment="1">
      <alignment wrapText="1"/>
    </xf>
    <xf numFmtId="0" fontId="2" fillId="11" borderId="0" xfId="1" applyFont="1" applyFill="1" applyAlignment="1">
      <alignment wrapText="1"/>
    </xf>
    <xf numFmtId="0" fontId="6" fillId="11" borderId="0" xfId="1" applyFont="1" applyFill="1" applyAlignment="1">
      <alignment wrapText="1"/>
    </xf>
    <xf numFmtId="165" fontId="2" fillId="11" borderId="0" xfId="1" applyNumberFormat="1" applyFont="1" applyFill="1"/>
    <xf numFmtId="1" fontId="2" fillId="11" borderId="0" xfId="1" applyNumberFormat="1" applyFont="1" applyFill="1" applyAlignment="1">
      <alignment wrapText="1"/>
    </xf>
    <xf numFmtId="1" fontId="2" fillId="11" borderId="0" xfId="1" applyNumberFormat="1" applyFont="1" applyFill="1" applyAlignment="1">
      <alignment horizontal="center" vertical="center"/>
    </xf>
    <xf numFmtId="0" fontId="8" fillId="11" borderId="0" xfId="1" applyFill="1"/>
    <xf numFmtId="0" fontId="5" fillId="11" borderId="0" xfId="1" applyFont="1" applyFill="1"/>
    <xf numFmtId="0" fontId="4" fillId="11" borderId="0" xfId="1" applyFont="1" applyFill="1"/>
    <xf numFmtId="0" fontId="12" fillId="0" borderId="8" xfId="0" applyFont="1" applyBorder="1" applyAlignment="1">
      <alignment horizontal="right" vertical="top"/>
    </xf>
    <xf numFmtId="0" fontId="12" fillId="0" borderId="7" xfId="0" applyFont="1" applyBorder="1" applyAlignment="1">
      <alignment vertical="top"/>
    </xf>
    <xf numFmtId="0" fontId="12" fillId="0" borderId="7" xfId="0" applyFont="1" applyBorder="1" applyAlignment="1">
      <alignment vertical="top" wrapText="1"/>
    </xf>
    <xf numFmtId="14" fontId="12" fillId="0" borderId="7" xfId="0" applyNumberFormat="1" applyFont="1" applyBorder="1"/>
    <xf numFmtId="14" fontId="12" fillId="0" borderId="0" xfId="0" applyNumberFormat="1" applyFont="1"/>
  </cellXfs>
  <cellStyles count="4">
    <cellStyle name="Hyperlink" xfId="3" builtinId="8"/>
    <cellStyle name="Hyperlink 2" xfId="2" xr:uid="{8843584B-D199-4298-9002-8C63ACAEE48A}"/>
    <cellStyle name="Normal" xfId="0" builtinId="0"/>
    <cellStyle name="Normal 2" xfId="1" xr:uid="{CC097222-F85D-43A5-8D5A-626EFF7A5126}"/>
  </cellStyles>
  <dxfs count="32">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68" totalsRowShown="0" headerRowDxfId="31" dataDxfId="30">
  <autoFilter ref="A7:N68" xr:uid="{0A5F47C8-3179-46F9-BE99-A9B76BAD878C}"/>
  <tableColumns count="14">
    <tableColumn id="1" xr3:uid="{C9904922-FF5D-45A3-B5D3-EF10C1630985}" name="Sr No" dataDxfId="29"/>
    <tableColumn id="2" xr3:uid="{ABEDFEFE-58EE-4C6C-86C4-C9DEBAB6663A}" name="Week/ Duration/ Sprint/ Phase" dataDxfId="28"/>
    <tableColumn id="5" xr3:uid="{ECEE511D-106F-46AD-92EE-E0F87F024F12}" name="Activities" dataDxfId="27"/>
    <tableColumn id="7" xr3:uid="{F638BC36-FF81-4965-9929-AD0DB8943648}" name="Task" dataDxfId="26"/>
    <tableColumn id="8" xr3:uid="{4597D75E-45EF-4C43-A495-0B30BF5528DD}" name="Sub Task" dataDxfId="25"/>
    <tableColumn id="14" xr3:uid="{6B6F32EA-8782-4A93-BB85-8948AEB11118}" name="Dependencies" dataDxfId="24" dataCellStyle="Normal 2"/>
    <tableColumn id="3" xr3:uid="{B22A1ECA-B8A1-494B-A3F1-19F4B0F7B03C}" name="Assigned to" dataDxfId="23"/>
    <tableColumn id="9" xr3:uid="{97CF7C3D-BFDD-4192-9FF7-3F4FF96496FD}" name="Start Date" dataDxfId="22"/>
    <tableColumn id="10" xr3:uid="{AA43FC6C-FFDB-4670-9259-BE02C80EC500}" name="End Date" dataDxfId="21"/>
    <tableColumn id="13" xr3:uid="{55B1DC76-CFD9-4E09-B576-3FB940AC17F2}" name="Actual End Date" dataDxfId="20"/>
    <tableColumn id="11" xr3:uid="{79E62A97-9A5C-462C-8324-B4E64F02D6B1}" name="Hours required" dataDxfId="19"/>
    <tableColumn id="4" xr3:uid="{F0BD2C8A-C5CD-4F3C-87F6-5F3BF237DE80}" name="Status"/>
    <tableColumn id="12" xr3:uid="{32C641F6-883B-4F55-8EDA-A39F8099CBB1}" name="Progress" dataDxfId="18"/>
    <tableColumn id="6" xr3:uid="{C5894069-1CEA-444D-8CE6-47CC2452FD15}" name="Comments" dataDxfId="1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16">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5" dataDxfId="14" tableBorderDxfId="13" totalsRowBorderDxfId="12">
  <tableColumns count="2">
    <tableColumn id="1" xr3:uid="{54E63342-D5F1-204E-986E-873E700F4A6E}" name="Column1" dataDxfId="11"/>
    <tableColumn id="2" xr3:uid="{A8AEF144-B61A-3D45-B88A-D0460BEFD36B}" name="Column2" dataDxfId="10"/>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tabSelected="1" workbookViewId="0">
      <selection activeCell="B19" sqref="B19"/>
    </sheetView>
  </sheetViews>
  <sheetFormatPr defaultColWidth="11.44140625" defaultRowHeight="14.4"/>
  <cols>
    <col min="1" max="1" width="21.44140625" customWidth="1"/>
  </cols>
  <sheetData>
    <row r="2" spans="1:15" ht="18">
      <c r="A2" s="39" t="s">
        <v>125</v>
      </c>
    </row>
    <row r="4" spans="1:15">
      <c r="A4" t="s">
        <v>0</v>
      </c>
      <c r="B4" s="38" t="s">
        <v>1</v>
      </c>
    </row>
    <row r="5" spans="1:15">
      <c r="A5" t="s">
        <v>2</v>
      </c>
      <c r="B5" s="38" t="s">
        <v>3</v>
      </c>
    </row>
    <row r="6" spans="1:15">
      <c r="A6" t="s">
        <v>4</v>
      </c>
      <c r="B6" t="s">
        <v>5</v>
      </c>
    </row>
    <row r="7" spans="1:15">
      <c r="A7" t="s">
        <v>6</v>
      </c>
      <c r="B7" s="40">
        <v>1</v>
      </c>
    </row>
    <row r="10" spans="1:15">
      <c r="A10" s="90" t="s">
        <v>7</v>
      </c>
    </row>
    <row r="11" spans="1:15">
      <c r="A11" s="89" t="s">
        <v>8</v>
      </c>
    </row>
    <row r="12" spans="1:15">
      <c r="A12" s="89" t="s">
        <v>9</v>
      </c>
    </row>
    <row r="13" spans="1:15">
      <c r="A13" s="89" t="s">
        <v>10</v>
      </c>
    </row>
    <row r="14" spans="1:15">
      <c r="A14" s="92" t="s">
        <v>11</v>
      </c>
      <c r="B14" s="91"/>
      <c r="C14" s="91"/>
      <c r="D14" s="91"/>
      <c r="E14" s="91"/>
      <c r="F14" s="91"/>
      <c r="G14" s="91"/>
    </row>
    <row r="16" spans="1:15">
      <c r="A16" s="94" t="s">
        <v>126</v>
      </c>
      <c r="B16" s="91"/>
      <c r="C16" s="91"/>
      <c r="D16" s="91"/>
      <c r="E16" s="91"/>
      <c r="F16" s="91"/>
      <c r="G16" s="91"/>
      <c r="H16" s="91"/>
      <c r="I16" s="91"/>
      <c r="J16" s="91"/>
      <c r="K16" s="91"/>
      <c r="L16" s="91"/>
      <c r="M16" s="91"/>
      <c r="N16" s="91"/>
      <c r="O16" s="91"/>
    </row>
    <row r="31" spans="5:5">
      <c r="E31" s="38"/>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BZ1905"/>
  <sheetViews>
    <sheetView topLeftCell="A43" zoomScale="37" zoomScaleNormal="37" workbookViewId="0">
      <selection activeCell="D66" sqref="D66"/>
    </sheetView>
  </sheetViews>
  <sheetFormatPr defaultColWidth="8.6640625" defaultRowHeight="13.8" outlineLevelRow="1"/>
  <cols>
    <col min="1" max="1" width="8.6640625" style="7"/>
    <col min="2" max="2" width="8.6640625" style="6"/>
    <col min="3" max="3" width="28.44140625" style="1" customWidth="1"/>
    <col min="4" max="4" width="21.88671875" style="1" customWidth="1"/>
    <col min="5" max="5" width="24.109375" style="1" customWidth="1"/>
    <col min="6" max="6" width="19.44140625" style="1" customWidth="1"/>
    <col min="7" max="7" width="15.44140625" style="1" bestFit="1" customWidth="1"/>
    <col min="8" max="8" width="12.33203125" style="2" bestFit="1" customWidth="1"/>
    <col min="9" max="9" width="11.44140625" style="2" bestFit="1" customWidth="1"/>
    <col min="10" max="10" width="11.44140625" style="3" customWidth="1"/>
    <col min="11" max="11" width="11.44140625" style="4" customWidth="1"/>
    <col min="12" max="12" width="11.44140625" style="2" customWidth="1"/>
    <col min="13" max="13" width="11.44140625" style="5" customWidth="1"/>
    <col min="14" max="14" width="10.44140625" style="1" customWidth="1"/>
    <col min="15" max="15" width="2.44140625" style="6" customWidth="1"/>
    <col min="16" max="16" width="4.109375" style="6" customWidth="1"/>
    <col min="17" max="22" width="3.88671875" style="6" bestFit="1" customWidth="1"/>
    <col min="23" max="23" width="4.109375" style="6" bestFit="1" customWidth="1"/>
    <col min="24" max="24" width="3.44140625" style="6" bestFit="1" customWidth="1"/>
    <col min="25" max="25" width="3.88671875" style="6" bestFit="1" customWidth="1"/>
    <col min="26" max="29" width="3.44140625" style="6" bestFit="1" customWidth="1"/>
    <col min="30" max="30" width="4.109375" style="6" bestFit="1" customWidth="1"/>
    <col min="31" max="31" width="3.44140625" style="6" bestFit="1" customWidth="1"/>
    <col min="32" max="32" width="3.88671875" style="6" bestFit="1" customWidth="1"/>
    <col min="33" max="36" width="3.44140625" style="6" bestFit="1" customWidth="1"/>
    <col min="37" max="37" width="4.109375" style="6" bestFit="1" customWidth="1"/>
    <col min="38" max="38" width="3.44140625" style="6" bestFit="1" customWidth="1"/>
    <col min="39" max="39" width="3.88671875" style="6" bestFit="1" customWidth="1"/>
    <col min="40" max="42" width="3.44140625" style="6" bestFit="1" customWidth="1"/>
    <col min="43" max="43" width="3.88671875" style="6" bestFit="1" customWidth="1"/>
    <col min="44" max="44" width="4.109375" style="6" bestFit="1" customWidth="1"/>
    <col min="45" max="50" width="3.88671875" style="6" bestFit="1" customWidth="1"/>
    <col min="51" max="51" width="4.109375" style="6" bestFit="1" customWidth="1"/>
    <col min="52" max="53" width="3.88671875" style="6" bestFit="1" customWidth="1"/>
    <col min="54" max="57" width="3.44140625" style="6" bestFit="1" customWidth="1"/>
    <col min="58" max="58" width="4.109375" style="6" bestFit="1" customWidth="1"/>
    <col min="59" max="59" width="3.44140625" style="6" bestFit="1" customWidth="1"/>
    <col min="60" max="60" width="3.88671875" style="6" bestFit="1" customWidth="1"/>
    <col min="61" max="64" width="3.44140625" style="6" bestFit="1" customWidth="1"/>
    <col min="65" max="65" width="4.109375" style="6" bestFit="1" customWidth="1"/>
    <col min="66" max="66" width="3.44140625" style="6" bestFit="1" customWidth="1"/>
    <col min="67" max="67" width="3.88671875" style="6" bestFit="1" customWidth="1"/>
    <col min="68" max="71" width="3.44140625" style="6" bestFit="1" customWidth="1"/>
    <col min="72" max="72" width="4.109375" style="6" bestFit="1" customWidth="1"/>
    <col min="73" max="73" width="3.44140625" style="6" bestFit="1" customWidth="1"/>
    <col min="74" max="74" width="3.88671875" style="6" bestFit="1" customWidth="1"/>
    <col min="75" max="78" width="3.44140625" style="6" bestFit="1" customWidth="1"/>
    <col min="79" max="16384" width="8.6640625" style="6"/>
  </cols>
  <sheetData>
    <row r="2" spans="1:78" ht="22.8">
      <c r="C2" s="72" t="s">
        <v>128</v>
      </c>
      <c r="D2" s="73"/>
      <c r="E2" s="73"/>
      <c r="F2" s="73"/>
    </row>
    <row r="4" spans="1:78" s="63" customFormat="1" ht="42">
      <c r="A4" s="62"/>
      <c r="C4" s="64" t="s">
        <v>12</v>
      </c>
      <c r="D4" s="65">
        <v>46057</v>
      </c>
      <c r="E4" s="66"/>
      <c r="F4" s="66"/>
      <c r="G4" s="66"/>
      <c r="H4" s="67"/>
      <c r="I4" s="67"/>
      <c r="J4" s="68"/>
      <c r="K4" s="69"/>
      <c r="L4" s="67"/>
      <c r="M4" s="70"/>
      <c r="N4" s="66"/>
    </row>
    <row r="5" spans="1:78" s="63" customFormat="1" ht="42">
      <c r="A5" s="62"/>
      <c r="C5" s="64" t="s">
        <v>13</v>
      </c>
      <c r="D5" s="120">
        <v>46026</v>
      </c>
      <c r="E5" s="66"/>
      <c r="F5" s="66"/>
      <c r="G5" s="66"/>
      <c r="H5" s="67"/>
      <c r="I5" s="67"/>
      <c r="J5" s="68"/>
      <c r="K5" s="69"/>
      <c r="L5" s="67"/>
      <c r="M5" s="70"/>
      <c r="N5" s="66"/>
      <c r="P5" s="96">
        <f>P6</f>
        <v>368230</v>
      </c>
      <c r="Q5" s="97"/>
      <c r="R5" s="97"/>
      <c r="S5" s="97"/>
      <c r="T5" s="97"/>
      <c r="U5" s="97"/>
      <c r="V5" s="71"/>
      <c r="W5" s="96">
        <f>W6</f>
        <v>368237</v>
      </c>
      <c r="X5" s="97"/>
      <c r="Y5" s="97"/>
      <c r="Z5" s="97"/>
      <c r="AA5" s="97"/>
      <c r="AB5" s="97"/>
      <c r="AC5" s="71"/>
      <c r="AD5" s="96">
        <f>AD6</f>
        <v>368244</v>
      </c>
      <c r="AE5" s="97"/>
      <c r="AF5" s="97"/>
      <c r="AG5" s="97"/>
      <c r="AH5" s="97"/>
      <c r="AI5" s="97"/>
      <c r="AJ5" s="71"/>
      <c r="AK5" s="96">
        <f>AK6</f>
        <v>368251</v>
      </c>
      <c r="AL5" s="97"/>
      <c r="AM5" s="97"/>
      <c r="AN5" s="97"/>
      <c r="AO5" s="97"/>
      <c r="AP5" s="97"/>
      <c r="AQ5" s="71"/>
      <c r="AR5" s="96">
        <f>AR6</f>
        <v>368258</v>
      </c>
      <c r="AS5" s="97"/>
      <c r="AT5" s="97"/>
      <c r="AU5" s="97"/>
      <c r="AV5" s="97"/>
      <c r="AW5" s="97"/>
      <c r="AX5" s="71"/>
      <c r="AY5" s="96">
        <f>AY6</f>
        <v>368265</v>
      </c>
      <c r="AZ5" s="97"/>
      <c r="BA5" s="97"/>
      <c r="BB5" s="97"/>
      <c r="BC5" s="97"/>
      <c r="BD5" s="97"/>
      <c r="BE5" s="71"/>
      <c r="BF5" s="96">
        <f>BF6</f>
        <v>368272</v>
      </c>
      <c r="BG5" s="97"/>
      <c r="BH5" s="97"/>
      <c r="BI5" s="97"/>
      <c r="BJ5" s="97"/>
      <c r="BK5" s="97"/>
      <c r="BL5" s="71"/>
      <c r="BM5" s="96">
        <f>BM6</f>
        <v>368279</v>
      </c>
      <c r="BN5" s="97"/>
      <c r="BO5" s="97"/>
      <c r="BP5" s="97"/>
      <c r="BQ5" s="97"/>
      <c r="BR5" s="97"/>
      <c r="BS5" s="71"/>
      <c r="BT5" s="96">
        <f>BT6</f>
        <v>368286</v>
      </c>
      <c r="BU5" s="97"/>
      <c r="BV5" s="97"/>
      <c r="BW5" s="97"/>
      <c r="BX5" s="97"/>
      <c r="BY5" s="97"/>
      <c r="BZ5" s="71"/>
    </row>
    <row r="6" spans="1:78" ht="14.4">
      <c r="C6" s="95" t="s">
        <v>127</v>
      </c>
      <c r="P6" s="8">
        <f>$D$4-WEEKDAY(project_start,3)+(display_week-1)*7</f>
        <v>368230</v>
      </c>
      <c r="Q6" s="9">
        <f t="shared" ref="Q6:BZ6" si="0">P6+1</f>
        <v>368231</v>
      </c>
      <c r="R6" s="9">
        <f t="shared" si="0"/>
        <v>368232</v>
      </c>
      <c r="S6" s="9">
        <f t="shared" si="0"/>
        <v>368233</v>
      </c>
      <c r="T6" s="9">
        <f t="shared" si="0"/>
        <v>368234</v>
      </c>
      <c r="U6" s="9">
        <f t="shared" si="0"/>
        <v>368235</v>
      </c>
      <c r="V6" s="10">
        <f t="shared" si="0"/>
        <v>368236</v>
      </c>
      <c r="W6" s="8">
        <f t="shared" si="0"/>
        <v>368237</v>
      </c>
      <c r="X6" s="9">
        <f t="shared" si="0"/>
        <v>368238</v>
      </c>
      <c r="Y6" s="9">
        <f t="shared" si="0"/>
        <v>368239</v>
      </c>
      <c r="Z6" s="9">
        <f t="shared" si="0"/>
        <v>368240</v>
      </c>
      <c r="AA6" s="9">
        <f t="shared" si="0"/>
        <v>368241</v>
      </c>
      <c r="AB6" s="9">
        <f t="shared" si="0"/>
        <v>368242</v>
      </c>
      <c r="AC6" s="10">
        <f t="shared" si="0"/>
        <v>368243</v>
      </c>
      <c r="AD6" s="8">
        <f t="shared" si="0"/>
        <v>368244</v>
      </c>
      <c r="AE6" s="9">
        <f t="shared" si="0"/>
        <v>368245</v>
      </c>
      <c r="AF6" s="9">
        <f t="shared" si="0"/>
        <v>368246</v>
      </c>
      <c r="AG6" s="9">
        <f t="shared" si="0"/>
        <v>368247</v>
      </c>
      <c r="AH6" s="9">
        <f t="shared" si="0"/>
        <v>368248</v>
      </c>
      <c r="AI6" s="9">
        <f t="shared" si="0"/>
        <v>368249</v>
      </c>
      <c r="AJ6" s="10">
        <f t="shared" si="0"/>
        <v>368250</v>
      </c>
      <c r="AK6" s="8">
        <f t="shared" si="0"/>
        <v>368251</v>
      </c>
      <c r="AL6" s="9">
        <f t="shared" si="0"/>
        <v>368252</v>
      </c>
      <c r="AM6" s="9">
        <f t="shared" si="0"/>
        <v>368253</v>
      </c>
      <c r="AN6" s="9">
        <f t="shared" si="0"/>
        <v>368254</v>
      </c>
      <c r="AO6" s="9">
        <f t="shared" si="0"/>
        <v>368255</v>
      </c>
      <c r="AP6" s="9">
        <f t="shared" si="0"/>
        <v>368256</v>
      </c>
      <c r="AQ6" s="10">
        <f t="shared" si="0"/>
        <v>368257</v>
      </c>
      <c r="AR6" s="8">
        <f t="shared" si="0"/>
        <v>368258</v>
      </c>
      <c r="AS6" s="9">
        <f t="shared" si="0"/>
        <v>368259</v>
      </c>
      <c r="AT6" s="9">
        <f t="shared" si="0"/>
        <v>368260</v>
      </c>
      <c r="AU6" s="9">
        <f t="shared" si="0"/>
        <v>368261</v>
      </c>
      <c r="AV6" s="9">
        <f t="shared" si="0"/>
        <v>368262</v>
      </c>
      <c r="AW6" s="9">
        <f t="shared" si="0"/>
        <v>368263</v>
      </c>
      <c r="AX6" s="10">
        <f t="shared" si="0"/>
        <v>368264</v>
      </c>
      <c r="AY6" s="8">
        <f t="shared" si="0"/>
        <v>368265</v>
      </c>
      <c r="AZ6" s="9">
        <f t="shared" si="0"/>
        <v>368266</v>
      </c>
      <c r="BA6" s="9">
        <f t="shared" si="0"/>
        <v>368267</v>
      </c>
      <c r="BB6" s="9">
        <f t="shared" si="0"/>
        <v>368268</v>
      </c>
      <c r="BC6" s="9">
        <f t="shared" si="0"/>
        <v>368269</v>
      </c>
      <c r="BD6" s="9">
        <f t="shared" si="0"/>
        <v>368270</v>
      </c>
      <c r="BE6" s="10">
        <f t="shared" si="0"/>
        <v>368271</v>
      </c>
      <c r="BF6" s="8">
        <f t="shared" si="0"/>
        <v>368272</v>
      </c>
      <c r="BG6" s="9">
        <f t="shared" si="0"/>
        <v>368273</v>
      </c>
      <c r="BH6" s="9">
        <f t="shared" si="0"/>
        <v>368274</v>
      </c>
      <c r="BI6" s="9">
        <f t="shared" si="0"/>
        <v>368275</v>
      </c>
      <c r="BJ6" s="9">
        <f t="shared" si="0"/>
        <v>368276</v>
      </c>
      <c r="BK6" s="9">
        <f t="shared" si="0"/>
        <v>368277</v>
      </c>
      <c r="BL6" s="10">
        <f t="shared" si="0"/>
        <v>368278</v>
      </c>
      <c r="BM6" s="8">
        <f t="shared" si="0"/>
        <v>368279</v>
      </c>
      <c r="BN6" s="9">
        <f t="shared" si="0"/>
        <v>368280</v>
      </c>
      <c r="BO6" s="9">
        <f t="shared" si="0"/>
        <v>368281</v>
      </c>
      <c r="BP6" s="9">
        <f t="shared" si="0"/>
        <v>368282</v>
      </c>
      <c r="BQ6" s="9">
        <f t="shared" si="0"/>
        <v>368283</v>
      </c>
      <c r="BR6" s="9">
        <f t="shared" si="0"/>
        <v>368284</v>
      </c>
      <c r="BS6" s="10">
        <f t="shared" si="0"/>
        <v>368285</v>
      </c>
      <c r="BT6" s="8">
        <f t="shared" si="0"/>
        <v>368286</v>
      </c>
      <c r="BU6" s="9">
        <f t="shared" si="0"/>
        <v>368287</v>
      </c>
      <c r="BV6" s="9">
        <f t="shared" si="0"/>
        <v>368288</v>
      </c>
      <c r="BW6" s="9">
        <f t="shared" si="0"/>
        <v>368289</v>
      </c>
      <c r="BX6" s="9">
        <f t="shared" si="0"/>
        <v>368290</v>
      </c>
      <c r="BY6" s="9">
        <f t="shared" si="0"/>
        <v>368291</v>
      </c>
      <c r="BZ6" s="10">
        <f t="shared" si="0"/>
        <v>368292</v>
      </c>
    </row>
    <row r="7" spans="1:78" ht="28.8">
      <c r="A7" s="41" t="s">
        <v>14</v>
      </c>
      <c r="B7" s="42" t="s">
        <v>15</v>
      </c>
      <c r="C7" s="43" t="s">
        <v>16</v>
      </c>
      <c r="D7" s="43" t="s">
        <v>17</v>
      </c>
      <c r="E7" s="43" t="s">
        <v>18</v>
      </c>
      <c r="F7" s="43" t="s">
        <v>19</v>
      </c>
      <c r="G7" s="43" t="s">
        <v>20</v>
      </c>
      <c r="H7" s="44" t="s">
        <v>21</v>
      </c>
      <c r="I7" s="44" t="s">
        <v>22</v>
      </c>
      <c r="J7" s="45" t="s">
        <v>23</v>
      </c>
      <c r="K7" s="46" t="s">
        <v>24</v>
      </c>
      <c r="L7" s="44" t="s">
        <v>25</v>
      </c>
      <c r="M7" s="93" t="s">
        <v>26</v>
      </c>
      <c r="N7" s="43" t="s">
        <v>27</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4" customFormat="1" ht="18.75" customHeight="1">
      <c r="A8" s="47">
        <v>1</v>
      </c>
      <c r="B8" s="48" t="s">
        <v>193</v>
      </c>
      <c r="C8" s="49"/>
      <c r="D8" s="49"/>
      <c r="E8" s="49"/>
      <c r="F8" s="49"/>
      <c r="G8" s="49"/>
      <c r="H8" s="50"/>
      <c r="I8" s="50"/>
      <c r="J8" s="49"/>
      <c r="K8" s="49"/>
      <c r="L8" s="51"/>
      <c r="M8" s="52"/>
      <c r="N8" s="53"/>
    </row>
    <row r="9" spans="1:78" ht="115.2" outlineLevel="1">
      <c r="A9" s="131">
        <v>1</v>
      </c>
      <c r="B9" s="34"/>
      <c r="C9" s="35" t="s">
        <v>129</v>
      </c>
      <c r="D9" s="35"/>
      <c r="E9" s="35"/>
      <c r="F9" s="35"/>
      <c r="G9" s="36"/>
      <c r="H9" s="37">
        <v>46057</v>
      </c>
      <c r="I9" s="37"/>
      <c r="J9" s="31"/>
      <c r="K9" s="31"/>
      <c r="L9" s="17" t="s">
        <v>192</v>
      </c>
      <c r="M9" s="20"/>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96.6" customHeight="1" outlineLevel="1">
      <c r="A10" s="131">
        <v>2</v>
      </c>
      <c r="B10" s="132"/>
      <c r="C10" s="133" t="s">
        <v>130</v>
      </c>
      <c r="D10" s="133"/>
      <c r="E10" s="35"/>
      <c r="F10" s="35"/>
      <c r="G10" s="36"/>
      <c r="H10" s="134">
        <v>46144</v>
      </c>
      <c r="I10" s="34"/>
      <c r="J10" s="30"/>
      <c r="K10" s="31"/>
      <c r="L10" s="17" t="s">
        <v>192</v>
      </c>
      <c r="M10" s="20"/>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109.2" customHeight="1" outlineLevel="1">
      <c r="A11" s="131">
        <v>3</v>
      </c>
      <c r="B11" s="34"/>
      <c r="C11" s="133" t="s">
        <v>131</v>
      </c>
      <c r="D11" s="35"/>
      <c r="E11" s="35"/>
      <c r="F11" s="35"/>
      <c r="G11" s="36"/>
      <c r="H11" s="134">
        <v>46175</v>
      </c>
      <c r="I11" s="34"/>
      <c r="J11" s="32"/>
      <c r="K11" s="33"/>
      <c r="L11" s="17" t="s">
        <v>192</v>
      </c>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89.4" customHeight="1" outlineLevel="1">
      <c r="A12" s="131">
        <v>4</v>
      </c>
      <c r="B12" s="34"/>
      <c r="C12" s="133" t="s">
        <v>132</v>
      </c>
      <c r="D12" s="35"/>
      <c r="E12" s="35"/>
      <c r="F12" s="35"/>
      <c r="G12" s="36"/>
      <c r="H12" s="134">
        <v>46205</v>
      </c>
      <c r="I12" s="34"/>
      <c r="J12" s="32"/>
      <c r="K12" s="33"/>
      <c r="L12" s="17" t="s">
        <v>192</v>
      </c>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72" outlineLevel="1">
      <c r="A13" s="131">
        <v>5</v>
      </c>
      <c r="B13" s="34"/>
      <c r="C13" s="133" t="s">
        <v>133</v>
      </c>
      <c r="D13" s="35"/>
      <c r="E13" s="35"/>
      <c r="F13" s="35"/>
      <c r="G13" s="36"/>
      <c r="H13" s="134">
        <v>46236</v>
      </c>
      <c r="I13" s="34"/>
      <c r="J13" s="30"/>
      <c r="K13" s="31"/>
      <c r="L13" s="17" t="s">
        <v>192</v>
      </c>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s="56" customFormat="1" ht="17.25" customHeight="1">
      <c r="A14" s="47">
        <v>2</v>
      </c>
      <c r="B14" s="48" t="s">
        <v>194</v>
      </c>
      <c r="C14" s="49"/>
      <c r="D14" s="49"/>
      <c r="E14" s="49"/>
      <c r="F14" s="49"/>
      <c r="G14" s="49"/>
      <c r="H14" s="50"/>
      <c r="I14" s="50"/>
      <c r="J14" s="49"/>
      <c r="K14" s="49"/>
      <c r="L14" s="51"/>
      <c r="M14" s="52"/>
      <c r="N14" s="55"/>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row>
    <row r="15" spans="1:78" ht="72" outlineLevel="1">
      <c r="A15" s="29">
        <v>1</v>
      </c>
      <c r="B15" s="30"/>
      <c r="C15" s="31" t="s">
        <v>134</v>
      </c>
      <c r="D15" s="31"/>
      <c r="E15" s="31"/>
      <c r="F15" s="31"/>
      <c r="G15" s="31"/>
      <c r="H15" s="135">
        <v>46328</v>
      </c>
      <c r="I15" s="30"/>
      <c r="J15" s="31"/>
      <c r="K15" s="31"/>
      <c r="L15" s="17" t="s">
        <v>192</v>
      </c>
      <c r="M15" s="20"/>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47.4" customHeight="1" outlineLevel="1">
      <c r="A16" s="13">
        <v>2</v>
      </c>
      <c r="B16" s="14"/>
      <c r="C16" s="31" t="s">
        <v>135</v>
      </c>
      <c r="D16" s="15"/>
      <c r="E16" s="15"/>
      <c r="F16" s="15"/>
      <c r="G16" s="16"/>
      <c r="H16" s="17">
        <v>46065</v>
      </c>
      <c r="I16" s="17"/>
      <c r="J16" s="17"/>
      <c r="K16" s="19"/>
      <c r="L16" s="17" t="s">
        <v>192</v>
      </c>
      <c r="M16" s="20"/>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57.6" outlineLevel="1">
      <c r="A17" s="13">
        <v>3</v>
      </c>
      <c r="B17" s="14"/>
      <c r="C17" s="15" t="s">
        <v>136</v>
      </c>
      <c r="D17" s="15"/>
      <c r="E17" s="15"/>
      <c r="F17" s="15"/>
      <c r="G17" s="15"/>
      <c r="H17" s="17" t="s">
        <v>179</v>
      </c>
      <c r="I17" s="17"/>
      <c r="J17" s="18"/>
      <c r="K17" s="19"/>
      <c r="L17" s="17" t="s">
        <v>192</v>
      </c>
      <c r="M17" s="20"/>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ht="61.2" customHeight="1" outlineLevel="1">
      <c r="A18" s="13">
        <v>4</v>
      </c>
      <c r="B18" s="14"/>
      <c r="C18" s="31" t="s">
        <v>137</v>
      </c>
      <c r="D18" s="15"/>
      <c r="E18" s="15"/>
      <c r="F18" s="15"/>
      <c r="G18" s="16"/>
      <c r="H18" s="17" t="s">
        <v>180</v>
      </c>
      <c r="I18" s="17"/>
      <c r="J18" s="17"/>
      <c r="K18" s="19"/>
      <c r="L18" s="17" t="s">
        <v>192</v>
      </c>
      <c r="M18" s="20"/>
      <c r="N18" s="15"/>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row>
    <row r="19" spans="1:78" ht="45.6" customHeight="1" outlineLevel="1">
      <c r="A19" s="13">
        <v>5</v>
      </c>
      <c r="B19" s="14"/>
      <c r="C19" s="15" t="s">
        <v>138</v>
      </c>
      <c r="D19" s="15"/>
      <c r="E19" s="15"/>
      <c r="F19" s="15"/>
      <c r="G19" s="15"/>
      <c r="H19" s="17" t="s">
        <v>181</v>
      </c>
      <c r="I19" s="17"/>
      <c r="J19" s="18"/>
      <c r="K19" s="19"/>
      <c r="L19" s="17" t="s">
        <v>192</v>
      </c>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s="56" customFormat="1" ht="14.4">
      <c r="A20" s="57">
        <v>3</v>
      </c>
      <c r="B20" s="58" t="s">
        <v>195</v>
      </c>
      <c r="C20" s="55"/>
      <c r="D20" s="55"/>
      <c r="E20" s="55"/>
      <c r="F20" s="55"/>
      <c r="G20" s="55"/>
      <c r="H20" s="51"/>
      <c r="I20" s="51"/>
      <c r="J20" s="59"/>
      <c r="K20" s="60"/>
      <c r="L20" s="51"/>
      <c r="M20" s="52"/>
      <c r="N20" s="55"/>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row>
    <row r="21" spans="1:78" ht="58.8" customHeight="1" outlineLevel="1">
      <c r="A21" s="24">
        <v>1</v>
      </c>
      <c r="B21" s="14"/>
      <c r="C21" s="15" t="s">
        <v>139</v>
      </c>
      <c r="D21" s="15"/>
      <c r="E21" s="15"/>
      <c r="F21" s="15"/>
      <c r="G21" s="15"/>
      <c r="H21" s="17" t="s">
        <v>182</v>
      </c>
      <c r="I21" s="17"/>
      <c r="J21" s="18"/>
      <c r="K21" s="19"/>
      <c r="L21" s="17" t="s">
        <v>192</v>
      </c>
      <c r="M21" s="20"/>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59.4" customHeight="1" outlineLevel="1">
      <c r="A22" s="24">
        <v>2</v>
      </c>
      <c r="B22" s="14"/>
      <c r="C22" s="15" t="s">
        <v>140</v>
      </c>
      <c r="D22" s="15"/>
      <c r="E22" s="15"/>
      <c r="F22" s="15"/>
      <c r="G22" s="16"/>
      <c r="H22" s="17" t="s">
        <v>183</v>
      </c>
      <c r="I22" s="17"/>
      <c r="J22" s="17"/>
      <c r="K22" s="19"/>
      <c r="L22" s="17" t="s">
        <v>192</v>
      </c>
      <c r="N22" s="23"/>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43.2" customHeight="1" outlineLevel="1">
      <c r="A23" s="24">
        <v>3</v>
      </c>
      <c r="B23" s="14"/>
      <c r="C23" s="15" t="s">
        <v>141</v>
      </c>
      <c r="D23" s="21"/>
      <c r="E23" s="15"/>
      <c r="F23" s="15"/>
      <c r="G23" s="16"/>
      <c r="H23" s="17" t="s">
        <v>184</v>
      </c>
      <c r="I23" s="17"/>
      <c r="J23" s="17"/>
      <c r="K23" s="19"/>
      <c r="L23" s="17" t="s">
        <v>192</v>
      </c>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43.2" customHeight="1" outlineLevel="1">
      <c r="A24" s="24">
        <v>4</v>
      </c>
      <c r="B24" s="14"/>
      <c r="C24" s="15" t="s">
        <v>142</v>
      </c>
      <c r="D24" s="21"/>
      <c r="E24" s="15"/>
      <c r="F24" s="15"/>
      <c r="G24" s="16"/>
      <c r="H24" s="17" t="s">
        <v>185</v>
      </c>
      <c r="I24" s="17"/>
      <c r="J24" s="17"/>
      <c r="K24" s="19"/>
      <c r="L24" s="17" t="s">
        <v>192</v>
      </c>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43.2" customHeight="1" outlineLevel="1">
      <c r="A25" s="24">
        <v>5</v>
      </c>
      <c r="B25" s="14"/>
      <c r="C25" s="15" t="s">
        <v>143</v>
      </c>
      <c r="D25" s="21"/>
      <c r="E25" s="15"/>
      <c r="F25" s="15"/>
      <c r="G25" s="16"/>
      <c r="H25" s="17" t="s">
        <v>186</v>
      </c>
      <c r="I25" s="17"/>
      <c r="J25" s="17"/>
      <c r="K25" s="19"/>
      <c r="L25" s="17" t="s">
        <v>192</v>
      </c>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s="128" customFormat="1" ht="15" customHeight="1" outlineLevel="1">
      <c r="A26" s="121">
        <v>4</v>
      </c>
      <c r="B26" s="130" t="s">
        <v>196</v>
      </c>
      <c r="C26" s="122"/>
      <c r="D26" s="122"/>
      <c r="E26" s="123"/>
      <c r="F26" s="123"/>
      <c r="G26" s="124"/>
      <c r="H26" s="125"/>
      <c r="I26" s="125"/>
      <c r="J26" s="125"/>
      <c r="K26" s="126"/>
      <c r="L26" s="125"/>
      <c r="M26" s="127"/>
      <c r="N26" s="123"/>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29"/>
      <c r="BQ26" s="129"/>
      <c r="BR26" s="129"/>
      <c r="BS26" s="129"/>
      <c r="BT26" s="129"/>
      <c r="BU26" s="129"/>
      <c r="BV26" s="129"/>
      <c r="BW26" s="129"/>
      <c r="BX26" s="129"/>
      <c r="BY26" s="129"/>
      <c r="BZ26" s="129"/>
    </row>
    <row r="27" spans="1:78" ht="41.4" customHeight="1" outlineLevel="1">
      <c r="A27" s="24">
        <v>1</v>
      </c>
      <c r="B27" s="14"/>
      <c r="C27" s="15" t="s">
        <v>144</v>
      </c>
      <c r="D27" s="21"/>
      <c r="E27" s="15"/>
      <c r="F27" s="15"/>
      <c r="G27" s="16"/>
      <c r="H27" s="17" t="s">
        <v>187</v>
      </c>
      <c r="I27" s="17"/>
      <c r="J27" s="17"/>
      <c r="K27" s="19"/>
      <c r="L27" s="17" t="s">
        <v>192</v>
      </c>
      <c r="M27" s="20"/>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61.8" customHeight="1" outlineLevel="1">
      <c r="A28" s="24">
        <v>2</v>
      </c>
      <c r="B28" s="14"/>
      <c r="C28" s="15" t="s">
        <v>145</v>
      </c>
      <c r="D28" s="15"/>
      <c r="E28" s="15"/>
      <c r="F28" s="15"/>
      <c r="G28" s="16"/>
      <c r="H28" s="17" t="s">
        <v>188</v>
      </c>
      <c r="I28" s="17"/>
      <c r="J28" s="18"/>
      <c r="K28" s="19"/>
      <c r="L28" s="17" t="s">
        <v>192</v>
      </c>
      <c r="M28" s="20"/>
      <c r="N28" s="15"/>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43.2" outlineLevel="1">
      <c r="A29" s="24">
        <v>3</v>
      </c>
      <c r="B29" s="14"/>
      <c r="C29" s="15" t="s">
        <v>146</v>
      </c>
      <c r="D29" s="21"/>
      <c r="E29" s="15"/>
      <c r="F29" s="15"/>
      <c r="G29" s="16"/>
      <c r="H29" s="17" t="s">
        <v>189</v>
      </c>
      <c r="I29" s="17"/>
      <c r="J29" s="17"/>
      <c r="K29" s="19"/>
      <c r="L29" s="17" t="s">
        <v>192</v>
      </c>
      <c r="M29" s="20"/>
      <c r="N29" s="15"/>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43.2" outlineLevel="1">
      <c r="A30" s="24">
        <v>4</v>
      </c>
      <c r="B30" s="14"/>
      <c r="C30" s="15" t="s">
        <v>147</v>
      </c>
      <c r="D30" s="21"/>
      <c r="E30" s="15"/>
      <c r="F30" s="15"/>
      <c r="G30" s="16"/>
      <c r="H30" s="17" t="s">
        <v>190</v>
      </c>
      <c r="I30" s="17"/>
      <c r="J30" s="18"/>
      <c r="K30" s="19"/>
      <c r="L30" s="17" t="s">
        <v>192</v>
      </c>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43.2" outlineLevel="1">
      <c r="A31" s="24">
        <v>5</v>
      </c>
      <c r="B31" s="14"/>
      <c r="C31" s="15" t="s">
        <v>148</v>
      </c>
      <c r="D31" s="15"/>
      <c r="E31" s="15"/>
      <c r="F31" s="15"/>
      <c r="G31" s="16"/>
      <c r="H31" s="17" t="s">
        <v>191</v>
      </c>
      <c r="I31" s="17"/>
      <c r="J31" s="18"/>
      <c r="K31" s="19"/>
      <c r="L31" s="17" t="s">
        <v>192</v>
      </c>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s="128" customFormat="1" ht="15" customHeight="1" outlineLevel="1">
      <c r="A32" s="121">
        <v>5</v>
      </c>
      <c r="B32" s="130" t="s">
        <v>197</v>
      </c>
      <c r="C32" s="122"/>
      <c r="D32" s="122"/>
      <c r="E32" s="123"/>
      <c r="F32" s="123"/>
      <c r="G32" s="124"/>
      <c r="H32" s="125"/>
      <c r="I32" s="125"/>
      <c r="J32" s="125"/>
      <c r="K32" s="126"/>
      <c r="L32" s="125"/>
      <c r="M32" s="127"/>
      <c r="N32" s="123"/>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row>
    <row r="33" spans="1:78" ht="43.2" customHeight="1" outlineLevel="1">
      <c r="A33" s="24">
        <v>1</v>
      </c>
      <c r="B33" s="14"/>
      <c r="C33" s="15" t="s">
        <v>149</v>
      </c>
      <c r="D33" s="21"/>
      <c r="E33" s="15"/>
      <c r="F33" s="15"/>
      <c r="G33" s="16"/>
      <c r="H33" s="17">
        <v>46082</v>
      </c>
      <c r="I33" s="17"/>
      <c r="J33" s="17"/>
      <c r="K33" s="19"/>
      <c r="L33" s="17" t="s">
        <v>192</v>
      </c>
      <c r="M33" s="20"/>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42" customHeight="1" outlineLevel="1">
      <c r="A34" s="24">
        <v>2</v>
      </c>
      <c r="B34" s="14"/>
      <c r="C34" s="15" t="s">
        <v>150</v>
      </c>
      <c r="D34" s="21"/>
      <c r="E34" s="15"/>
      <c r="F34" s="15"/>
      <c r="G34" s="16"/>
      <c r="H34" s="17">
        <v>46083</v>
      </c>
      <c r="I34" s="17"/>
      <c r="J34" s="17"/>
      <c r="K34" s="19"/>
      <c r="L34" s="17" t="s">
        <v>192</v>
      </c>
      <c r="M34" s="20"/>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42.6" customHeight="1" outlineLevel="1">
      <c r="A35" s="24">
        <v>3</v>
      </c>
      <c r="B35" s="14"/>
      <c r="C35" s="15" t="s">
        <v>151</v>
      </c>
      <c r="D35" s="21"/>
      <c r="E35" s="15"/>
      <c r="F35" s="15"/>
      <c r="G35" s="16"/>
      <c r="H35" s="17">
        <v>46084</v>
      </c>
      <c r="I35" s="17"/>
      <c r="J35" s="17"/>
      <c r="K35" s="19"/>
      <c r="L35" s="17" t="s">
        <v>192</v>
      </c>
      <c r="M35" s="20"/>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2" customHeight="1" outlineLevel="1">
      <c r="A36" s="24">
        <v>4</v>
      </c>
      <c r="B36" s="14"/>
      <c r="C36" s="15" t="s">
        <v>152</v>
      </c>
      <c r="D36" s="21"/>
      <c r="E36" s="15"/>
      <c r="F36" s="15"/>
      <c r="G36" s="16"/>
      <c r="H36" s="17">
        <v>46085</v>
      </c>
      <c r="I36" s="17"/>
      <c r="J36" s="18"/>
      <c r="K36" s="19"/>
      <c r="L36" s="17" t="s">
        <v>192</v>
      </c>
      <c r="M36" s="20"/>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33.6" customHeight="1" outlineLevel="1">
      <c r="A37" s="24">
        <v>5</v>
      </c>
      <c r="B37" s="14"/>
      <c r="C37" s="15" t="s">
        <v>153</v>
      </c>
      <c r="D37" s="15"/>
      <c r="E37" s="15"/>
      <c r="F37" s="15"/>
      <c r="G37" s="15"/>
      <c r="H37" s="17">
        <v>46086</v>
      </c>
      <c r="I37" s="17"/>
      <c r="J37" s="18"/>
      <c r="K37" s="19"/>
      <c r="L37" s="17" t="s">
        <v>192</v>
      </c>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s="56" customFormat="1" ht="14.4">
      <c r="A38" s="57">
        <v>6</v>
      </c>
      <c r="B38" s="58" t="s">
        <v>198</v>
      </c>
      <c r="C38" s="55"/>
      <c r="D38" s="55"/>
      <c r="E38" s="55"/>
      <c r="F38" s="55"/>
      <c r="G38" s="55"/>
      <c r="H38" s="51"/>
      <c r="I38" s="51"/>
      <c r="J38" s="59"/>
      <c r="K38" s="60"/>
      <c r="L38" s="51"/>
      <c r="M38" s="52"/>
      <c r="N38" s="55"/>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row>
    <row r="39" spans="1:78" ht="43.2" outlineLevel="1">
      <c r="A39" s="24">
        <v>1</v>
      </c>
      <c r="B39" s="14"/>
      <c r="C39" s="15" t="s">
        <v>154</v>
      </c>
      <c r="D39" s="15"/>
      <c r="E39" s="15"/>
      <c r="F39" s="15"/>
      <c r="G39" s="15"/>
      <c r="H39" s="17">
        <v>46087</v>
      </c>
      <c r="I39" s="17"/>
      <c r="J39" s="18"/>
      <c r="K39" s="19"/>
      <c r="L39" s="17" t="s">
        <v>192</v>
      </c>
      <c r="M39" s="20"/>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33" customHeight="1" outlineLevel="1">
      <c r="A40" s="24">
        <v>2</v>
      </c>
      <c r="B40" s="14"/>
      <c r="C40" s="15" t="s">
        <v>155</v>
      </c>
      <c r="D40" s="15"/>
      <c r="E40" s="15"/>
      <c r="F40" s="15"/>
      <c r="G40" s="16"/>
      <c r="H40" s="17">
        <v>46088</v>
      </c>
      <c r="I40" s="17"/>
      <c r="J40" s="17"/>
      <c r="K40" s="19"/>
      <c r="L40" s="17" t="s">
        <v>192</v>
      </c>
      <c r="M40" s="20"/>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40.200000000000003" customHeight="1" outlineLevel="1">
      <c r="A41" s="24">
        <v>3</v>
      </c>
      <c r="B41" s="14"/>
      <c r="C41" s="15" t="s">
        <v>156</v>
      </c>
      <c r="D41" s="15"/>
      <c r="E41" s="15"/>
      <c r="F41" s="15"/>
      <c r="G41" s="16"/>
      <c r="H41" s="17">
        <v>46089</v>
      </c>
      <c r="I41" s="17"/>
      <c r="J41" s="17"/>
      <c r="K41" s="19"/>
      <c r="L41" s="17" t="s">
        <v>192</v>
      </c>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30" customHeight="1" outlineLevel="1">
      <c r="A42" s="24">
        <v>4</v>
      </c>
      <c r="B42" s="14"/>
      <c r="C42" s="15" t="s">
        <v>157</v>
      </c>
      <c r="D42" s="15"/>
      <c r="E42" s="15"/>
      <c r="F42" s="15"/>
      <c r="G42" s="15"/>
      <c r="H42" s="17">
        <v>46090</v>
      </c>
      <c r="I42" s="17"/>
      <c r="J42" s="18"/>
      <c r="K42" s="19"/>
      <c r="L42" s="17" t="s">
        <v>192</v>
      </c>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31.2" customHeight="1" outlineLevel="1">
      <c r="A43" s="24">
        <v>5</v>
      </c>
      <c r="B43" s="14"/>
      <c r="C43" s="15" t="s">
        <v>158</v>
      </c>
      <c r="D43" s="15"/>
      <c r="E43" s="15"/>
      <c r="F43" s="15"/>
      <c r="G43" s="16"/>
      <c r="H43" s="17">
        <v>46091</v>
      </c>
      <c r="I43" s="17"/>
      <c r="J43" s="18"/>
      <c r="K43" s="19"/>
      <c r="L43" s="17" t="s">
        <v>192</v>
      </c>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s="56" customFormat="1" ht="14.4">
      <c r="A44" s="57">
        <v>7</v>
      </c>
      <c r="B44" s="58" t="s">
        <v>199</v>
      </c>
      <c r="C44" s="55"/>
      <c r="D44" s="55"/>
      <c r="E44" s="55"/>
      <c r="F44" s="55"/>
      <c r="G44" s="55"/>
      <c r="H44" s="51"/>
      <c r="I44" s="51"/>
      <c r="J44" s="59"/>
      <c r="K44" s="60"/>
      <c r="L44" s="51"/>
      <c r="M44" s="52"/>
      <c r="N44" s="55"/>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row>
    <row r="45" spans="1:78" ht="43.2" outlineLevel="1">
      <c r="A45" s="24">
        <v>1</v>
      </c>
      <c r="B45" s="25"/>
      <c r="C45" s="15" t="s">
        <v>159</v>
      </c>
      <c r="D45" s="15"/>
      <c r="E45" s="15"/>
      <c r="F45" s="15"/>
      <c r="G45" s="15"/>
      <c r="H45" s="17">
        <v>46094</v>
      </c>
      <c r="I45" s="17"/>
      <c r="J45" s="18"/>
      <c r="K45" s="19"/>
      <c r="L45" s="17" t="s">
        <v>192</v>
      </c>
      <c r="M45" s="26"/>
      <c r="N45" s="2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43.2" outlineLevel="1">
      <c r="A46" s="24">
        <v>2</v>
      </c>
      <c r="B46" s="25"/>
      <c r="C46" s="15" t="s">
        <v>160</v>
      </c>
      <c r="D46" s="15"/>
      <c r="E46" s="15"/>
      <c r="F46" s="15"/>
      <c r="G46" s="16"/>
      <c r="H46" s="17">
        <v>46095</v>
      </c>
      <c r="I46" s="17"/>
      <c r="J46" s="18"/>
      <c r="K46" s="19"/>
      <c r="L46" s="17" t="s">
        <v>192</v>
      </c>
      <c r="M46" s="26"/>
      <c r="N46" s="2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8.8" outlineLevel="1">
      <c r="A47" s="24">
        <v>3</v>
      </c>
      <c r="B47" s="14"/>
      <c r="C47" s="15" t="s">
        <v>161</v>
      </c>
      <c r="D47" s="15"/>
      <c r="E47" s="15"/>
      <c r="F47" s="15"/>
      <c r="G47" s="15"/>
      <c r="H47" s="17">
        <v>46096</v>
      </c>
      <c r="I47" s="17"/>
      <c r="J47" s="18"/>
      <c r="K47" s="19"/>
      <c r="L47" s="17" t="s">
        <v>192</v>
      </c>
      <c r="M47" s="20"/>
      <c r="N47" s="15"/>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28.5" customHeight="1" outlineLevel="1">
      <c r="A48" s="24">
        <v>4</v>
      </c>
      <c r="B48" s="14"/>
      <c r="C48" s="15" t="s">
        <v>162</v>
      </c>
      <c r="D48" s="15"/>
      <c r="E48" s="15"/>
      <c r="F48" s="15"/>
      <c r="G48" s="16"/>
      <c r="H48" s="27">
        <v>46097</v>
      </c>
      <c r="I48" s="27"/>
      <c r="J48" s="28"/>
      <c r="K48" s="19"/>
      <c r="L48" s="17" t="s">
        <v>192</v>
      </c>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28.8" outlineLevel="1">
      <c r="A49" s="24">
        <v>5</v>
      </c>
      <c r="B49" s="14"/>
      <c r="C49" s="15" t="s">
        <v>163</v>
      </c>
      <c r="D49" s="15"/>
      <c r="E49" s="15"/>
      <c r="F49" s="15"/>
      <c r="G49" s="16"/>
      <c r="H49" s="27">
        <v>46098</v>
      </c>
      <c r="I49" s="27"/>
      <c r="J49" s="28"/>
      <c r="K49" s="19"/>
      <c r="L49" s="17" t="s">
        <v>192</v>
      </c>
      <c r="M49" s="20"/>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s="56" customFormat="1" ht="14.4">
      <c r="A50" s="57">
        <v>8</v>
      </c>
      <c r="B50" s="58" t="s">
        <v>200</v>
      </c>
      <c r="C50" s="55"/>
      <c r="D50" s="55"/>
      <c r="E50" s="55"/>
      <c r="F50" s="55"/>
      <c r="G50" s="55"/>
      <c r="H50" s="51"/>
      <c r="I50" s="51"/>
      <c r="J50" s="59"/>
      <c r="K50" s="60"/>
      <c r="L50" s="51"/>
      <c r="M50" s="52"/>
      <c r="N50" s="55"/>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row>
    <row r="51" spans="1:78" ht="28.8" outlineLevel="1">
      <c r="A51" s="24">
        <v>1</v>
      </c>
      <c r="B51" s="14"/>
      <c r="C51" s="15" t="s">
        <v>164</v>
      </c>
      <c r="D51" s="15"/>
      <c r="E51" s="15"/>
      <c r="F51" s="15"/>
      <c r="G51" s="16"/>
      <c r="H51" s="17">
        <v>46101</v>
      </c>
      <c r="I51" s="17"/>
      <c r="J51" s="18"/>
      <c r="K51" s="19"/>
      <c r="L51" s="17" t="s">
        <v>192</v>
      </c>
      <c r="M51" s="20"/>
      <c r="N51" s="15"/>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row>
    <row r="52" spans="1:78" ht="43.2" outlineLevel="1">
      <c r="A52" s="24">
        <v>2</v>
      </c>
      <c r="B52" s="14"/>
      <c r="C52" s="15" t="s">
        <v>165</v>
      </c>
      <c r="D52" s="15"/>
      <c r="E52" s="15"/>
      <c r="F52" s="15"/>
      <c r="G52" s="16"/>
      <c r="H52" s="17">
        <v>46102</v>
      </c>
      <c r="I52" s="17"/>
      <c r="J52" s="18"/>
      <c r="K52" s="19"/>
      <c r="L52" s="17" t="s">
        <v>192</v>
      </c>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28.8" outlineLevel="1">
      <c r="A53" s="24">
        <v>3</v>
      </c>
      <c r="B53" s="14"/>
      <c r="C53" s="15" t="s">
        <v>166</v>
      </c>
      <c r="D53" s="15"/>
      <c r="E53" s="15"/>
      <c r="F53" s="15"/>
      <c r="G53" s="15"/>
      <c r="H53" s="17">
        <v>46103</v>
      </c>
      <c r="I53" s="17"/>
      <c r="J53" s="18"/>
      <c r="K53" s="19"/>
      <c r="L53" s="17" t="s">
        <v>192</v>
      </c>
      <c r="M53" s="20"/>
      <c r="N53" s="15"/>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28.8" outlineLevel="1">
      <c r="A54" s="24">
        <v>4</v>
      </c>
      <c r="B54" s="14"/>
      <c r="C54" s="15" t="s">
        <v>167</v>
      </c>
      <c r="D54" s="15"/>
      <c r="E54" s="15"/>
      <c r="F54" s="15"/>
      <c r="G54" s="16"/>
      <c r="H54" s="17">
        <v>46104</v>
      </c>
      <c r="I54" s="17"/>
      <c r="J54" s="18"/>
      <c r="K54" s="19"/>
      <c r="L54" s="17" t="s">
        <v>192</v>
      </c>
      <c r="M54" s="20"/>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28.8" outlineLevel="1">
      <c r="A55" s="24">
        <v>5</v>
      </c>
      <c r="B55" s="14"/>
      <c r="C55" s="15" t="s">
        <v>168</v>
      </c>
      <c r="D55" s="15"/>
      <c r="E55" s="15"/>
      <c r="F55" s="15"/>
      <c r="G55" s="15"/>
      <c r="H55" s="17">
        <v>46105</v>
      </c>
      <c r="I55" s="17"/>
      <c r="J55" s="18"/>
      <c r="K55" s="19"/>
      <c r="L55" s="17" t="s">
        <v>192</v>
      </c>
      <c r="M55" s="20"/>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s="56" customFormat="1" ht="14.4">
      <c r="A56" s="61">
        <v>9</v>
      </c>
      <c r="B56" s="58" t="s">
        <v>201</v>
      </c>
      <c r="C56" s="55"/>
      <c r="D56" s="55"/>
      <c r="E56" s="55"/>
      <c r="F56" s="55"/>
      <c r="G56" s="55"/>
      <c r="H56" s="51"/>
      <c r="I56" s="51"/>
      <c r="J56" s="59"/>
      <c r="K56" s="60"/>
      <c r="L56" s="51"/>
      <c r="M56" s="52"/>
      <c r="N56" s="55"/>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row>
    <row r="57" spans="1:78" ht="43.2" outlineLevel="1">
      <c r="A57" s="24">
        <v>1</v>
      </c>
      <c r="B57" s="25"/>
      <c r="C57" s="15" t="s">
        <v>169</v>
      </c>
      <c r="D57" s="15"/>
      <c r="E57" s="15"/>
      <c r="F57" s="15"/>
      <c r="G57" s="16"/>
      <c r="H57" s="17">
        <v>46108</v>
      </c>
      <c r="I57" s="17"/>
      <c r="J57" s="18"/>
      <c r="K57" s="19"/>
      <c r="L57" s="17" t="s">
        <v>192</v>
      </c>
      <c r="M57" s="20"/>
      <c r="N57" s="2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8.8" outlineLevel="1">
      <c r="A58" s="24">
        <v>2</v>
      </c>
      <c r="B58" s="25"/>
      <c r="C58" s="15" t="s">
        <v>170</v>
      </c>
      <c r="D58" s="15"/>
      <c r="E58" s="15"/>
      <c r="F58" s="15"/>
      <c r="G58" s="16"/>
      <c r="H58" s="17">
        <v>46109</v>
      </c>
      <c r="I58" s="17"/>
      <c r="J58" s="18"/>
      <c r="K58" s="19"/>
      <c r="L58" s="17" t="s">
        <v>192</v>
      </c>
      <c r="N58" s="2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8" outlineLevel="1">
      <c r="A59" s="24">
        <v>3</v>
      </c>
      <c r="B59" s="14"/>
      <c r="C59" s="15" t="s">
        <v>171</v>
      </c>
      <c r="D59" s="15"/>
      <c r="E59" s="15"/>
      <c r="F59" s="15"/>
      <c r="G59" s="16"/>
      <c r="H59" s="17">
        <v>46110</v>
      </c>
      <c r="I59" s="17"/>
      <c r="J59" s="18"/>
      <c r="K59" s="19"/>
      <c r="L59" s="2" t="s">
        <v>192</v>
      </c>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8.8" outlineLevel="1">
      <c r="A60" s="24">
        <v>4</v>
      </c>
      <c r="B60" s="14"/>
      <c r="C60" s="15" t="s">
        <v>172</v>
      </c>
      <c r="D60" s="15"/>
      <c r="E60" s="15"/>
      <c r="F60" s="15"/>
      <c r="G60" s="16"/>
      <c r="H60" s="17">
        <v>46111</v>
      </c>
      <c r="I60" s="17"/>
      <c r="J60" s="18"/>
      <c r="K60" s="19"/>
      <c r="L60" s="2" t="s">
        <v>192</v>
      </c>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28.8" outlineLevel="1">
      <c r="A61" s="24">
        <v>5</v>
      </c>
      <c r="B61" s="14"/>
      <c r="C61" s="15" t="s">
        <v>173</v>
      </c>
      <c r="D61" s="15"/>
      <c r="E61" s="15"/>
      <c r="F61" s="15"/>
      <c r="G61" s="16"/>
      <c r="H61" s="17">
        <v>46112</v>
      </c>
      <c r="I61" s="17"/>
      <c r="J61" s="18"/>
      <c r="K61" s="19"/>
      <c r="L61" s="2" t="s">
        <v>192</v>
      </c>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s="56" customFormat="1" ht="14.4">
      <c r="A62" s="61">
        <v>10</v>
      </c>
      <c r="B62" s="58" t="s">
        <v>202</v>
      </c>
      <c r="C62" s="55"/>
      <c r="D62" s="55"/>
      <c r="E62" s="55"/>
      <c r="F62" s="55"/>
      <c r="G62" s="55"/>
      <c r="H62" s="51"/>
      <c r="I62" s="51"/>
      <c r="J62" s="59"/>
      <c r="K62" s="60"/>
      <c r="L62" s="51"/>
      <c r="M62" s="52"/>
      <c r="N62" s="55"/>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row>
    <row r="63" spans="1:78" ht="28.8" outlineLevel="1">
      <c r="A63" s="24">
        <v>1</v>
      </c>
      <c r="B63" s="14"/>
      <c r="C63" s="15" t="s">
        <v>174</v>
      </c>
      <c r="D63" s="21"/>
      <c r="E63" s="15"/>
      <c r="F63" s="15"/>
      <c r="G63" s="16"/>
      <c r="H63" s="17">
        <v>46113</v>
      </c>
      <c r="I63" s="17"/>
      <c r="J63" s="18"/>
      <c r="K63" s="19"/>
      <c r="L63" s="2" t="s">
        <v>192</v>
      </c>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43.2" outlineLevel="1">
      <c r="A64" s="24">
        <v>2</v>
      </c>
      <c r="B64" s="14"/>
      <c r="C64" s="15" t="s">
        <v>175</v>
      </c>
      <c r="D64" s="21"/>
      <c r="E64" s="15"/>
      <c r="F64" s="15"/>
      <c r="G64" s="16"/>
      <c r="H64" s="17">
        <v>46114</v>
      </c>
      <c r="I64" s="17"/>
      <c r="J64" s="18"/>
      <c r="K64" s="19"/>
      <c r="L64" s="2" t="s">
        <v>192</v>
      </c>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28.8" outlineLevel="1">
      <c r="A65" s="24">
        <v>3</v>
      </c>
      <c r="B65" s="14"/>
      <c r="C65" s="15" t="s">
        <v>176</v>
      </c>
      <c r="D65" s="15"/>
      <c r="E65" s="15"/>
      <c r="F65" s="15"/>
      <c r="G65" s="16"/>
      <c r="H65" s="17">
        <v>46115</v>
      </c>
      <c r="I65" s="17"/>
      <c r="J65" s="18"/>
      <c r="K65" s="19"/>
      <c r="L65" s="2" t="s">
        <v>192</v>
      </c>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28.8" outlineLevel="1">
      <c r="A66" s="24">
        <v>4</v>
      </c>
      <c r="B66" s="14"/>
      <c r="C66" s="15" t="s">
        <v>177</v>
      </c>
      <c r="D66" s="21"/>
      <c r="E66" s="15"/>
      <c r="F66" s="15"/>
      <c r="G66" s="16"/>
      <c r="H66" s="17">
        <v>46116</v>
      </c>
      <c r="I66" s="17"/>
      <c r="J66" s="18"/>
      <c r="K66" s="19"/>
      <c r="L66" s="2" t="s">
        <v>192</v>
      </c>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28.8" outlineLevel="1">
      <c r="A67" s="24">
        <v>5</v>
      </c>
      <c r="B67" s="14"/>
      <c r="C67" s="15" t="s">
        <v>178</v>
      </c>
      <c r="D67" s="21"/>
      <c r="E67" s="15"/>
      <c r="F67" s="15"/>
      <c r="G67" s="16"/>
      <c r="H67" s="17">
        <v>46117</v>
      </c>
      <c r="I67" s="17"/>
      <c r="J67" s="18"/>
      <c r="K67" s="19"/>
      <c r="L67" s="2" t="s">
        <v>192</v>
      </c>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s="56" customFormat="1" ht="14.4">
      <c r="A68" s="61"/>
      <c r="B68" s="58"/>
      <c r="C68" s="55"/>
      <c r="D68" s="55"/>
      <c r="E68" s="55"/>
      <c r="F68" s="55"/>
      <c r="G68" s="55"/>
      <c r="H68" s="51"/>
      <c r="I68" s="51"/>
      <c r="J68" s="59"/>
      <c r="K68" s="60"/>
      <c r="L68" s="51"/>
      <c r="M68" s="52"/>
      <c r="N68" s="55"/>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row>
    <row r="69" spans="1:78" s="56" customFormat="1" ht="14.4">
      <c r="A69" s="61"/>
      <c r="B69" s="58"/>
      <c r="C69" s="55"/>
      <c r="D69" s="55"/>
      <c r="E69" s="55"/>
      <c r="F69" s="55"/>
      <c r="G69" s="55"/>
      <c r="H69" s="51"/>
      <c r="I69" s="51"/>
      <c r="J69" s="59"/>
      <c r="K69" s="60"/>
      <c r="L69" s="51"/>
      <c r="M69" s="52"/>
      <c r="N69" s="55"/>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row>
    <row r="70" spans="1:78" s="56" customFormat="1" ht="14.4">
      <c r="A70" s="61"/>
      <c r="B70" s="58"/>
      <c r="C70" s="55"/>
      <c r="D70" s="55"/>
      <c r="E70" s="55"/>
      <c r="F70" s="55"/>
      <c r="G70" s="55"/>
      <c r="H70" s="51"/>
      <c r="I70" s="51"/>
      <c r="J70" s="59"/>
      <c r="K70" s="60"/>
      <c r="L70" s="51"/>
      <c r="M70" s="52"/>
      <c r="N70" s="55"/>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row>
    <row r="71" spans="1:78" s="56" customFormat="1" ht="14.4">
      <c r="A71" s="61"/>
      <c r="B71" s="58"/>
      <c r="C71" s="55"/>
      <c r="D71" s="55"/>
      <c r="E71" s="55"/>
      <c r="F71" s="55"/>
      <c r="G71" s="55"/>
      <c r="H71" s="51"/>
      <c r="I71" s="51"/>
      <c r="J71" s="59"/>
      <c r="K71" s="60"/>
      <c r="L71" s="51"/>
      <c r="M71" s="52"/>
      <c r="N71" s="55"/>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row>
    <row r="72" spans="1:78">
      <c r="C72" s="6"/>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c r="C73" s="6"/>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row>
    <row r="81" spans="16:78">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6:78">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6:78">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6:78">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6:78">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6:78">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6:78">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6:78">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6:78">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6:78">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6:78">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6:78">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6:78">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row>
    <row r="94" spans="16:78">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6:78">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6:78">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6:78">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6:78">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6:78">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6:78">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6:78">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6:78">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6:78">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6:78">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6:78">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6:78">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6:78">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6:78">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row>
    <row r="109" spans="16:78">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6:78">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6:78">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6:78">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6:78">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row>
    <row r="114" spans="16:78">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6:78">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6:78">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6:78">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6:78">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6:78">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6:78">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6:78">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6:78">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6:78">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6:78">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6:78">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6:78">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6:78">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6:78">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6:78">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6:78">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6:78">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6:78">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6:78">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6:78">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6:78">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6:78">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6:78">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6:78">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6:78">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6:78">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6:78">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6:78">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6:78">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6:78">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16:78">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16:78">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16:78">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16:78">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16:78">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16:78">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16:78">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16:78">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16:78">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16:78">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16:78">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16:78">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16:78">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16:78">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16:78">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16:78">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sheetData>
  <mergeCells count="9">
    <mergeCell ref="BF5:BK5"/>
    <mergeCell ref="BM5:BR5"/>
    <mergeCell ref="BT5:BY5"/>
    <mergeCell ref="P5:U5"/>
    <mergeCell ref="W5:AB5"/>
    <mergeCell ref="AD5:AI5"/>
    <mergeCell ref="AK5:AP5"/>
    <mergeCell ref="AR5:AW5"/>
    <mergeCell ref="AY5:BD5"/>
  </mergeCells>
  <phoneticPr fontId="26" type="noConversion"/>
  <conditionalFormatting sqref="L1:M1048576">
    <cfRule type="cellIs" dxfId="9" priority="12" operator="equal">
      <formula>"Not Started"</formula>
    </cfRule>
    <cfRule type="cellIs" dxfId="8" priority="13" operator="equal">
      <formula>"In progress"</formula>
    </cfRule>
    <cfRule type="cellIs" dxfId="7" priority="14" operator="equal">
      <formula>"Completed"</formula>
    </cfRule>
  </conditionalFormatting>
  <conditionalFormatting sqref="M1:M1048576">
    <cfRule type="dataBar" priority="8">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1905">
    <cfRule type="expression" dxfId="6" priority="9">
      <formula>P$6=TODAY()</formula>
    </cfRule>
  </conditionalFormatting>
  <conditionalFormatting sqref="P8:BZ71">
    <cfRule type="expression" dxfId="5" priority="7">
      <formula>AND(P$6&gt;$I8,P$6&lt;=$J8)</formula>
    </cfRule>
  </conditionalFormatting>
  <conditionalFormatting sqref="P8:BZ71">
    <cfRule type="expression" dxfId="4" priority="11">
      <formula>AND(P$6&gt;=$H8,P$6&lt;=$I8)</formula>
    </cfRule>
  </conditionalFormatting>
  <conditionalFormatting sqref="P72:BZ1905">
    <cfRule type="expression" dxfId="3" priority="28">
      <formula>AND(P$6&gt;=$H75,P$6&lt;=$I75)</formula>
    </cfRule>
  </conditionalFormatting>
  <dataValidations count="2">
    <dataValidation type="list" allowBlank="1" showInputMessage="1" showErrorMessage="1" sqref="L4:L6 L69:L1048576" xr:uid="{445D0642-9DC7-457D-AD34-8F871F42D518}">
      <formula1>$C$71:$C$73</formula1>
    </dataValidation>
    <dataValidation type="list" allowBlank="1" showInputMessage="1" showErrorMessage="1" sqref="L7:L68"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workbookViewId="0">
      <selection activeCell="B19" sqref="B19"/>
    </sheetView>
  </sheetViews>
  <sheetFormatPr defaultColWidth="8.88671875" defaultRowHeight="14.4" outlineLevelRow="2"/>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6.4" thickBot="1">
      <c r="A1" s="98" t="s">
        <v>28</v>
      </c>
      <c r="B1" s="99"/>
      <c r="C1" s="99"/>
      <c r="D1" s="99"/>
      <c r="E1" s="99"/>
      <c r="F1" s="99"/>
      <c r="G1" s="99"/>
    </row>
    <row r="2" spans="1:18" ht="26.25" customHeight="1">
      <c r="A2" s="100" t="s">
        <v>29</v>
      </c>
      <c r="B2" s="101"/>
      <c r="C2" s="101"/>
      <c r="D2" s="101"/>
      <c r="E2" s="101"/>
      <c r="F2" s="101"/>
      <c r="G2" s="101"/>
      <c r="I2" s="102" t="s">
        <v>30</v>
      </c>
      <c r="J2" s="103"/>
      <c r="K2" s="103"/>
      <c r="L2" s="103"/>
      <c r="M2" s="103"/>
      <c r="N2" s="103"/>
      <c r="O2" s="103"/>
      <c r="P2" s="103"/>
      <c r="Q2" s="103"/>
      <c r="R2" s="104"/>
    </row>
    <row r="3" spans="1:18" ht="15" thickBot="1">
      <c r="I3" s="105"/>
      <c r="J3" s="106"/>
      <c r="K3" s="106"/>
      <c r="L3" s="106"/>
      <c r="M3" s="106"/>
      <c r="N3" s="106"/>
      <c r="O3" s="106"/>
      <c r="P3" s="106"/>
      <c r="Q3" s="106"/>
      <c r="R3" s="107"/>
    </row>
    <row r="4" spans="1:18">
      <c r="A4" s="82" t="s">
        <v>31</v>
      </c>
      <c r="B4" s="83" t="s">
        <v>32</v>
      </c>
      <c r="E4" s="111" t="s">
        <v>33</v>
      </c>
      <c r="F4" s="112"/>
      <c r="G4" s="113"/>
      <c r="I4" s="105"/>
      <c r="J4" s="106"/>
      <c r="K4" s="106"/>
      <c r="L4" s="106"/>
      <c r="M4" s="106"/>
      <c r="N4" s="106"/>
      <c r="O4" s="106"/>
      <c r="P4" s="106"/>
      <c r="Q4" s="106"/>
      <c r="R4" s="107"/>
    </row>
    <row r="5" spans="1:18">
      <c r="A5" s="84" t="s">
        <v>34</v>
      </c>
      <c r="B5" s="85" t="s">
        <v>35</v>
      </c>
      <c r="E5" s="114"/>
      <c r="F5" s="115"/>
      <c r="G5" s="116"/>
      <c r="I5" s="105"/>
      <c r="J5" s="106"/>
      <c r="K5" s="106"/>
      <c r="L5" s="106"/>
      <c r="M5" s="106"/>
      <c r="N5" s="106"/>
      <c r="O5" s="106"/>
      <c r="P5" s="106"/>
      <c r="Q5" s="106"/>
      <c r="R5" s="107"/>
    </row>
    <row r="6" spans="1:18" ht="15" thickBot="1">
      <c r="A6" s="84" t="s">
        <v>36</v>
      </c>
      <c r="B6" s="85" t="s">
        <v>37</v>
      </c>
      <c r="E6" s="117"/>
      <c r="F6" s="118"/>
      <c r="G6" s="119"/>
      <c r="I6" s="105"/>
      <c r="J6" s="106"/>
      <c r="K6" s="106"/>
      <c r="L6" s="106"/>
      <c r="M6" s="106"/>
      <c r="N6" s="106"/>
      <c r="O6" s="106"/>
      <c r="P6" s="106"/>
      <c r="Q6" s="106"/>
      <c r="R6" s="107"/>
    </row>
    <row r="7" spans="1:18">
      <c r="A7" s="84" t="s">
        <v>38</v>
      </c>
      <c r="B7" s="85"/>
      <c r="I7" s="105"/>
      <c r="J7" s="106"/>
      <c r="K7" s="106"/>
      <c r="L7" s="106"/>
      <c r="M7" s="106"/>
      <c r="N7" s="106"/>
      <c r="O7" s="106"/>
      <c r="P7" s="106"/>
      <c r="Q7" s="106"/>
      <c r="R7" s="107"/>
    </row>
    <row r="8" spans="1:18">
      <c r="A8" s="84" t="s">
        <v>12</v>
      </c>
      <c r="B8" s="86">
        <v>46114</v>
      </c>
      <c r="I8" s="105"/>
      <c r="J8" s="106"/>
      <c r="K8" s="106"/>
      <c r="L8" s="106"/>
      <c r="M8" s="106"/>
      <c r="N8" s="106"/>
      <c r="O8" s="106"/>
      <c r="P8" s="106"/>
      <c r="Q8" s="106"/>
      <c r="R8" s="107"/>
    </row>
    <row r="9" spans="1:18">
      <c r="A9" s="84" t="s">
        <v>39</v>
      </c>
      <c r="B9" s="86">
        <v>46269</v>
      </c>
      <c r="I9" s="105"/>
      <c r="J9" s="106"/>
      <c r="K9" s="106"/>
      <c r="L9" s="106"/>
      <c r="M9" s="106"/>
      <c r="N9" s="106"/>
      <c r="O9" s="106"/>
      <c r="P9" s="106"/>
      <c r="Q9" s="106"/>
      <c r="R9" s="107"/>
    </row>
    <row r="10" spans="1:18">
      <c r="A10" s="87" t="s">
        <v>40</v>
      </c>
      <c r="B10" s="88" t="s">
        <v>41</v>
      </c>
      <c r="I10" s="105"/>
      <c r="J10" s="106"/>
      <c r="K10" s="106"/>
      <c r="L10" s="106"/>
      <c r="M10" s="106"/>
      <c r="N10" s="106"/>
      <c r="O10" s="106"/>
      <c r="P10" s="106"/>
      <c r="Q10" s="106"/>
      <c r="R10" s="107"/>
    </row>
    <row r="11" spans="1:18">
      <c r="I11" s="105"/>
      <c r="J11" s="106"/>
      <c r="K11" s="106"/>
      <c r="L11" s="106"/>
      <c r="M11" s="106"/>
      <c r="N11" s="106"/>
      <c r="O11" s="106"/>
      <c r="P11" s="106"/>
      <c r="Q11" s="106"/>
      <c r="R11" s="107"/>
    </row>
    <row r="12" spans="1:18">
      <c r="I12" s="105"/>
      <c r="J12" s="106"/>
      <c r="K12" s="106"/>
      <c r="L12" s="106"/>
      <c r="M12" s="106"/>
      <c r="N12" s="106"/>
      <c r="O12" s="106"/>
      <c r="P12" s="106"/>
      <c r="Q12" s="106"/>
      <c r="R12" s="107"/>
    </row>
    <row r="13" spans="1:18">
      <c r="A13" s="81" t="s">
        <v>42</v>
      </c>
      <c r="B13" s="81" t="s">
        <v>43</v>
      </c>
      <c r="C13" s="81" t="s">
        <v>44</v>
      </c>
      <c r="D13" s="81" t="s">
        <v>45</v>
      </c>
      <c r="E13" s="81" t="s">
        <v>46</v>
      </c>
      <c r="F13" s="81" t="s">
        <v>47</v>
      </c>
      <c r="G13" s="81" t="s">
        <v>48</v>
      </c>
      <c r="I13" s="105"/>
      <c r="J13" s="106"/>
      <c r="K13" s="106"/>
      <c r="L13" s="106"/>
      <c r="M13" s="106"/>
      <c r="N13" s="106"/>
      <c r="O13" s="106"/>
      <c r="P13" s="106"/>
      <c r="Q13" s="106"/>
      <c r="R13" s="107"/>
    </row>
    <row r="14" spans="1:18">
      <c r="A14" s="74"/>
      <c r="B14" s="75"/>
      <c r="C14" s="74"/>
      <c r="D14" s="76"/>
      <c r="E14" s="76"/>
      <c r="F14" s="74"/>
      <c r="I14" s="105"/>
      <c r="J14" s="106"/>
      <c r="K14" s="106"/>
      <c r="L14" s="106"/>
      <c r="M14" s="106"/>
      <c r="N14" s="106"/>
      <c r="O14" s="106"/>
      <c r="P14" s="106"/>
      <c r="Q14" s="106"/>
      <c r="R14" s="107"/>
    </row>
    <row r="15" spans="1:18">
      <c r="A15" s="74"/>
      <c r="B15" s="77" t="s">
        <v>49</v>
      </c>
      <c r="C15" s="74"/>
      <c r="D15" s="76"/>
      <c r="E15" s="76"/>
      <c r="F15" s="74"/>
      <c r="I15" s="105"/>
      <c r="J15" s="106"/>
      <c r="K15" s="106"/>
      <c r="L15" s="106"/>
      <c r="M15" s="106"/>
      <c r="N15" s="106"/>
      <c r="O15" s="106"/>
      <c r="P15" s="106"/>
      <c r="Q15" s="106"/>
      <c r="R15" s="107"/>
    </row>
    <row r="16" spans="1:18">
      <c r="A16" s="74"/>
      <c r="B16" s="78" t="s">
        <v>50</v>
      </c>
      <c r="C16" s="74"/>
      <c r="D16" s="79">
        <v>43831</v>
      </c>
      <c r="E16" s="76">
        <v>43922</v>
      </c>
      <c r="F16" s="74">
        <v>3</v>
      </c>
      <c r="G16" t="s">
        <v>51</v>
      </c>
      <c r="I16" s="105"/>
      <c r="J16" s="106"/>
      <c r="K16" s="106"/>
      <c r="L16" s="106"/>
      <c r="M16" s="106"/>
      <c r="N16" s="106"/>
      <c r="O16" s="106"/>
      <c r="P16" s="106"/>
      <c r="Q16" s="106"/>
      <c r="R16" s="107"/>
    </row>
    <row r="17" spans="1:18" outlineLevel="1">
      <c r="B17" t="s">
        <v>52</v>
      </c>
      <c r="D17" s="79">
        <v>43831</v>
      </c>
      <c r="E17" s="76">
        <v>43922</v>
      </c>
      <c r="F17" s="74">
        <v>3</v>
      </c>
      <c r="G17" t="s">
        <v>51</v>
      </c>
      <c r="I17" s="105"/>
      <c r="J17" s="106"/>
      <c r="K17" s="106"/>
      <c r="L17" s="106"/>
      <c r="M17" s="106"/>
      <c r="N17" s="106"/>
      <c r="O17" s="106"/>
      <c r="P17" s="106"/>
      <c r="Q17" s="106"/>
      <c r="R17" s="107"/>
    </row>
    <row r="18" spans="1:18" outlineLevel="1">
      <c r="A18" s="74"/>
      <c r="B18" t="s">
        <v>53</v>
      </c>
      <c r="D18" s="79">
        <v>43831</v>
      </c>
      <c r="E18" s="76">
        <v>43922</v>
      </c>
      <c r="F18" s="74">
        <v>3</v>
      </c>
      <c r="G18" t="s">
        <v>51</v>
      </c>
      <c r="I18" s="105"/>
      <c r="J18" s="106"/>
      <c r="K18" s="106"/>
      <c r="L18" s="106"/>
      <c r="M18" s="106"/>
      <c r="N18" s="106"/>
      <c r="O18" s="106"/>
      <c r="P18" s="106"/>
      <c r="Q18" s="106"/>
      <c r="R18" s="107"/>
    </row>
    <row r="19" spans="1:18" outlineLevel="1">
      <c r="B19" t="s">
        <v>54</v>
      </c>
      <c r="D19" s="79">
        <v>43831</v>
      </c>
      <c r="E19" s="76">
        <v>43922</v>
      </c>
      <c r="F19" s="74">
        <v>3</v>
      </c>
      <c r="G19" t="s">
        <v>51</v>
      </c>
      <c r="I19" s="105"/>
      <c r="J19" s="106"/>
      <c r="K19" s="106"/>
      <c r="L19" s="106"/>
      <c r="M19" s="106"/>
      <c r="N19" s="106"/>
      <c r="O19" s="106"/>
      <c r="P19" s="106"/>
      <c r="Q19" s="106"/>
      <c r="R19" s="107"/>
    </row>
    <row r="20" spans="1:18">
      <c r="I20" s="105"/>
      <c r="J20" s="106"/>
      <c r="K20" s="106"/>
      <c r="L20" s="106"/>
      <c r="M20" s="106"/>
      <c r="N20" s="106"/>
      <c r="O20" s="106"/>
      <c r="P20" s="106"/>
      <c r="Q20" s="106"/>
      <c r="R20" s="107"/>
    </row>
    <row r="21" spans="1:18" ht="15" thickBot="1">
      <c r="B21" s="75"/>
      <c r="I21" s="108"/>
      <c r="J21" s="109"/>
      <c r="K21" s="109"/>
      <c r="L21" s="109"/>
      <c r="M21" s="109"/>
      <c r="N21" s="109"/>
      <c r="O21" s="109"/>
      <c r="P21" s="109"/>
      <c r="Q21" s="109"/>
      <c r="R21" s="110"/>
    </row>
    <row r="22" spans="1:18" outlineLevel="1">
      <c r="B22" s="38" t="s">
        <v>55</v>
      </c>
      <c r="D22" s="80"/>
      <c r="E22" s="80"/>
    </row>
    <row r="23" spans="1:18" outlineLevel="1">
      <c r="B23" t="s">
        <v>56</v>
      </c>
      <c r="D23" s="80">
        <v>43952</v>
      </c>
      <c r="E23" s="80">
        <v>44105</v>
      </c>
      <c r="F23">
        <v>5</v>
      </c>
      <c r="G23" t="s">
        <v>51</v>
      </c>
    </row>
    <row r="24" spans="1:18" outlineLevel="1">
      <c r="B24" t="s">
        <v>57</v>
      </c>
      <c r="D24" s="80">
        <v>43952</v>
      </c>
      <c r="E24" s="80">
        <v>44105</v>
      </c>
      <c r="F24">
        <v>5</v>
      </c>
      <c r="G24" t="s">
        <v>51</v>
      </c>
    </row>
    <row r="25" spans="1:18" outlineLevel="1">
      <c r="B25" t="s">
        <v>58</v>
      </c>
      <c r="D25" s="80">
        <v>43952</v>
      </c>
      <c r="E25" s="80">
        <v>44105</v>
      </c>
      <c r="F25">
        <v>5</v>
      </c>
      <c r="G25" t="s">
        <v>51</v>
      </c>
    </row>
    <row r="26" spans="1:18" outlineLevel="1"/>
    <row r="28" spans="1:18">
      <c r="B28" s="38" t="s">
        <v>59</v>
      </c>
    </row>
    <row r="29" spans="1:18" outlineLevel="1">
      <c r="B29" s="38" t="s">
        <v>60</v>
      </c>
      <c r="D29" s="80">
        <v>44166</v>
      </c>
      <c r="E29" t="s">
        <v>61</v>
      </c>
      <c r="F29">
        <v>8</v>
      </c>
      <c r="G29" t="s">
        <v>51</v>
      </c>
    </row>
    <row r="30" spans="1:18" outlineLevel="2">
      <c r="B30" s="38" t="s">
        <v>62</v>
      </c>
      <c r="D30" t="s">
        <v>63</v>
      </c>
      <c r="E30" t="s">
        <v>64</v>
      </c>
      <c r="F30">
        <v>59</v>
      </c>
      <c r="G30" t="s">
        <v>65</v>
      </c>
    </row>
    <row r="31" spans="1:18" outlineLevel="2">
      <c r="B31" s="38" t="s">
        <v>66</v>
      </c>
      <c r="D31" t="s">
        <v>63</v>
      </c>
      <c r="E31" t="s">
        <v>67</v>
      </c>
      <c r="F31">
        <v>9</v>
      </c>
    </row>
    <row r="32" spans="1:18" outlineLevel="2">
      <c r="B32" t="s">
        <v>68</v>
      </c>
    </row>
    <row r="33" spans="2:6" outlineLevel="2">
      <c r="B33" t="s">
        <v>69</v>
      </c>
    </row>
    <row r="34" spans="2:6" outlineLevel="1">
      <c r="B34" s="38" t="s">
        <v>70</v>
      </c>
      <c r="D34" s="80">
        <v>43832</v>
      </c>
      <c r="E34" s="80">
        <v>44106</v>
      </c>
      <c r="F34">
        <v>10</v>
      </c>
    </row>
    <row r="35" spans="2:6" outlineLevel="1">
      <c r="B35" s="38" t="s">
        <v>71</v>
      </c>
    </row>
    <row r="36" spans="2:6" outlineLevel="2">
      <c r="B36" t="s">
        <v>72</v>
      </c>
    </row>
    <row r="37" spans="2:6" outlineLevel="2">
      <c r="B37" t="s">
        <v>73</v>
      </c>
    </row>
    <row r="38" spans="2:6" outlineLevel="2">
      <c r="B38" s="38" t="s">
        <v>74</v>
      </c>
      <c r="D38" s="80">
        <v>44137</v>
      </c>
      <c r="E38" t="s">
        <v>75</v>
      </c>
      <c r="F38">
        <v>5</v>
      </c>
    </row>
    <row r="39" spans="2:6" outlineLevel="2">
      <c r="B39" t="s">
        <v>76</v>
      </c>
    </row>
    <row r="40" spans="2:6" outlineLevel="2">
      <c r="B40" s="38" t="s">
        <v>77</v>
      </c>
      <c r="D40" t="s">
        <v>78</v>
      </c>
      <c r="E40" t="s">
        <v>79</v>
      </c>
      <c r="F40">
        <v>5</v>
      </c>
    </row>
    <row r="41" spans="2:6" outlineLevel="2">
      <c r="B41" t="s">
        <v>80</v>
      </c>
    </row>
    <row r="42" spans="2:6" outlineLevel="1">
      <c r="B42" s="38" t="s">
        <v>81</v>
      </c>
    </row>
    <row r="43" spans="2:6" outlineLevel="1">
      <c r="B43" t="s">
        <v>82</v>
      </c>
    </row>
    <row r="44" spans="2:6" outlineLevel="2">
      <c r="B44" t="s">
        <v>83</v>
      </c>
    </row>
    <row r="45" spans="2:6" outlineLevel="2">
      <c r="B45" t="s">
        <v>84</v>
      </c>
    </row>
    <row r="46" spans="2:6" outlineLevel="2">
      <c r="B46" s="38" t="s">
        <v>85</v>
      </c>
      <c r="D46" t="s">
        <v>86</v>
      </c>
      <c r="E46" t="s">
        <v>87</v>
      </c>
      <c r="F46">
        <v>4</v>
      </c>
    </row>
    <row r="47" spans="2:6" outlineLevel="2">
      <c r="B47" t="s">
        <v>88</v>
      </c>
    </row>
    <row r="48" spans="2:6">
      <c r="B48" t="s">
        <v>89</v>
      </c>
    </row>
    <row r="49" spans="2:6">
      <c r="B49" t="s">
        <v>90</v>
      </c>
    </row>
    <row r="50" spans="2:6" outlineLevel="1">
      <c r="B50" t="s">
        <v>91</v>
      </c>
    </row>
    <row r="51" spans="2:6" outlineLevel="1">
      <c r="B51" t="s">
        <v>92</v>
      </c>
    </row>
    <row r="52" spans="2:6" outlineLevel="1">
      <c r="B52" s="38" t="s">
        <v>93</v>
      </c>
      <c r="D52" t="s">
        <v>87</v>
      </c>
      <c r="E52" t="s">
        <v>94</v>
      </c>
      <c r="F52">
        <v>3</v>
      </c>
    </row>
    <row r="53" spans="2:6" outlineLevel="1">
      <c r="B53" t="s">
        <v>95</v>
      </c>
    </row>
    <row r="54" spans="2:6" outlineLevel="1">
      <c r="B54" t="s">
        <v>96</v>
      </c>
    </row>
    <row r="55" spans="2:6" outlineLevel="1">
      <c r="B55" t="s">
        <v>97</v>
      </c>
    </row>
    <row r="56" spans="2:6">
      <c r="B56" t="s">
        <v>98</v>
      </c>
    </row>
    <row r="57" spans="2:6">
      <c r="B57" t="s">
        <v>99</v>
      </c>
    </row>
    <row r="58" spans="2:6" outlineLevel="1">
      <c r="B58" t="s">
        <v>100</v>
      </c>
    </row>
    <row r="59" spans="2:6" outlineLevel="1">
      <c r="B59" s="38" t="s">
        <v>101</v>
      </c>
      <c r="D59" s="80">
        <v>43833</v>
      </c>
      <c r="E59" s="80">
        <v>44077</v>
      </c>
      <c r="F59">
        <v>8</v>
      </c>
    </row>
    <row r="60" spans="2:6" outlineLevel="1">
      <c r="B60" t="s">
        <v>102</v>
      </c>
    </row>
    <row r="61" spans="2:6">
      <c r="B61" t="s">
        <v>103</v>
      </c>
    </row>
    <row r="62" spans="2:6">
      <c r="B62" t="s">
        <v>104</v>
      </c>
    </row>
    <row r="63" spans="2:6" outlineLevel="1">
      <c r="B63" s="38" t="s">
        <v>105</v>
      </c>
      <c r="D63" s="80">
        <v>44107</v>
      </c>
      <c r="E63" t="s">
        <v>106</v>
      </c>
      <c r="F63">
        <v>5</v>
      </c>
    </row>
    <row r="64" spans="2:6" outlineLevel="1">
      <c r="B64" s="38" t="s">
        <v>107</v>
      </c>
    </row>
    <row r="65" spans="2:6" outlineLevel="1">
      <c r="B65" t="s">
        <v>108</v>
      </c>
    </row>
    <row r="66" spans="2:6">
      <c r="B66" t="s">
        <v>109</v>
      </c>
    </row>
    <row r="67" spans="2:6">
      <c r="B67" t="s">
        <v>110</v>
      </c>
    </row>
    <row r="68" spans="2:6">
      <c r="B68" t="s">
        <v>111</v>
      </c>
    </row>
    <row r="69" spans="2:6">
      <c r="B69" s="38" t="s">
        <v>112</v>
      </c>
      <c r="D69" t="s">
        <v>113</v>
      </c>
      <c r="E69" t="s">
        <v>64</v>
      </c>
      <c r="F69">
        <v>7</v>
      </c>
    </row>
    <row r="70" spans="2:6">
      <c r="B70" t="s">
        <v>114</v>
      </c>
    </row>
    <row r="71" spans="2:6">
      <c r="B71" t="s">
        <v>115</v>
      </c>
    </row>
    <row r="72" spans="2:6">
      <c r="B72" t="s">
        <v>116</v>
      </c>
    </row>
    <row r="73" spans="2:6">
      <c r="B73" t="s">
        <v>117</v>
      </c>
    </row>
    <row r="74" spans="2:6">
      <c r="B74" t="s">
        <v>118</v>
      </c>
    </row>
    <row r="75" spans="2:6">
      <c r="B75" s="38" t="s">
        <v>119</v>
      </c>
      <c r="D75" t="s">
        <v>120</v>
      </c>
      <c r="E75" t="s">
        <v>121</v>
      </c>
      <c r="F75">
        <v>6</v>
      </c>
    </row>
    <row r="76" spans="2:6">
      <c r="B76" t="s">
        <v>122</v>
      </c>
    </row>
    <row r="77" spans="2:6">
      <c r="B77" t="s">
        <v>123</v>
      </c>
    </row>
    <row r="79" spans="2:6">
      <c r="B79" s="38" t="s">
        <v>124</v>
      </c>
      <c r="D79" s="80">
        <v>43834</v>
      </c>
      <c r="E79" s="80">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2.xml><?xml version="1.0" encoding="utf-8"?>
<ds:datastoreItem xmlns:ds="http://schemas.openxmlformats.org/officeDocument/2006/customXml" ds:itemID="{164CA4EF-3DD6-41DA-8D14-43B976E39805}">
  <ds:schemaRefs>
    <ds:schemaRef ds:uri="http://schemas.microsoft.com/sharepoint/v3/contenttype/forms"/>
  </ds:schemaRefs>
</ds:datastoreItem>
</file>

<file path=customXml/itemProps3.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shreeya ambre</cp:lastModifiedBy>
  <cp:revision/>
  <dcterms:created xsi:type="dcterms:W3CDTF">2020-10-23T22:38:51Z</dcterms:created>
  <dcterms:modified xsi:type="dcterms:W3CDTF">2026-03-22T19:49:17Z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